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kerPath\video_quality_compare\output_2\"/>
    </mc:Choice>
  </mc:AlternateContent>
  <xr:revisionPtr revIDLastSave="0" documentId="13_ncr:1_{890BD581-ADB4-42D7-938F-C56FA55A399A}" xr6:coauthVersionLast="47" xr6:coauthVersionMax="47" xr10:uidLastSave="{00000000-0000-0000-0000-000000000000}"/>
  <bookViews>
    <workbookView xWindow="-120" yWindow="-120" windowWidth="51840" windowHeight="21120" xr2:uid="{A52BD932-A557-4BE0-903E-C185B2674B46}"/>
  </bookViews>
  <sheets>
    <sheet name="result" sheetId="1" r:id="rId1"/>
  </sheets>
  <calcPr calcId="181029"/>
</workbook>
</file>

<file path=xl/calcChain.xml><?xml version="1.0" encoding="utf-8"?>
<calcChain xmlns="http://schemas.openxmlformats.org/spreadsheetml/2006/main">
  <c r="J51" i="1" l="1"/>
  <c r="I51" i="1"/>
  <c r="H51" i="1"/>
  <c r="G51" i="1"/>
  <c r="J50" i="1"/>
  <c r="I50" i="1"/>
  <c r="H50" i="1"/>
  <c r="G50" i="1"/>
  <c r="J49" i="1"/>
  <c r="I49" i="1"/>
  <c r="H49" i="1"/>
  <c r="G49" i="1"/>
  <c r="J48" i="1"/>
  <c r="I48" i="1"/>
  <c r="H48" i="1"/>
  <c r="G48" i="1"/>
  <c r="J47" i="1"/>
  <c r="I47" i="1"/>
  <c r="H47" i="1"/>
  <c r="G47" i="1"/>
  <c r="J46" i="1"/>
  <c r="I46" i="1"/>
  <c r="H46" i="1"/>
  <c r="G46" i="1"/>
  <c r="J45" i="1"/>
  <c r="I45" i="1"/>
  <c r="H45" i="1"/>
  <c r="G45" i="1"/>
  <c r="J44" i="1"/>
  <c r="I44" i="1"/>
  <c r="H44" i="1"/>
  <c r="G44" i="1"/>
  <c r="J43" i="1"/>
  <c r="I43" i="1"/>
  <c r="H43" i="1"/>
  <c r="G43" i="1"/>
  <c r="J42" i="1"/>
  <c r="I42" i="1"/>
  <c r="H42" i="1"/>
  <c r="G42" i="1"/>
  <c r="J41" i="1"/>
  <c r="I41" i="1"/>
  <c r="H41" i="1"/>
  <c r="G41" i="1"/>
  <c r="J40" i="1"/>
  <c r="I40" i="1"/>
  <c r="H40" i="1"/>
  <c r="G40" i="1"/>
  <c r="J39" i="1"/>
  <c r="I39" i="1"/>
  <c r="H39" i="1"/>
  <c r="G39" i="1"/>
  <c r="J38" i="1"/>
  <c r="I38" i="1"/>
  <c r="H38" i="1"/>
  <c r="G38" i="1"/>
  <c r="J37" i="1"/>
  <c r="I37" i="1"/>
  <c r="H37" i="1"/>
  <c r="G37" i="1"/>
  <c r="J36" i="1"/>
  <c r="I36" i="1"/>
  <c r="H36" i="1"/>
  <c r="G36" i="1"/>
  <c r="J35" i="1"/>
  <c r="I35" i="1"/>
  <c r="H35" i="1"/>
  <c r="G35" i="1"/>
  <c r="J34" i="1"/>
  <c r="I34" i="1"/>
  <c r="H34" i="1"/>
  <c r="G34" i="1"/>
  <c r="J33" i="1"/>
  <c r="I33" i="1"/>
  <c r="H33" i="1"/>
  <c r="G33" i="1"/>
  <c r="J32" i="1"/>
  <c r="I32" i="1"/>
  <c r="H32" i="1"/>
  <c r="G32" i="1"/>
  <c r="J31" i="1"/>
  <c r="I31" i="1"/>
  <c r="H31" i="1"/>
  <c r="G31" i="1"/>
  <c r="J30" i="1"/>
  <c r="I30" i="1"/>
  <c r="H30" i="1"/>
  <c r="G30" i="1"/>
  <c r="J29" i="1"/>
  <c r="I29" i="1"/>
  <c r="H29" i="1"/>
  <c r="G29" i="1"/>
  <c r="J28" i="1"/>
  <c r="I28" i="1"/>
  <c r="H28" i="1"/>
  <c r="G28" i="1"/>
  <c r="J27" i="1"/>
  <c r="I27" i="1"/>
  <c r="H27" i="1"/>
  <c r="G27" i="1"/>
  <c r="J26" i="1"/>
  <c r="I26" i="1"/>
  <c r="H26" i="1"/>
  <c r="G26" i="1"/>
  <c r="J25" i="1"/>
  <c r="I25" i="1"/>
  <c r="H25" i="1"/>
  <c r="G25" i="1"/>
  <c r="J24" i="1"/>
  <c r="I24" i="1"/>
  <c r="H24" i="1"/>
  <c r="G24" i="1"/>
  <c r="J23" i="1"/>
  <c r="I23" i="1"/>
  <c r="H23" i="1"/>
  <c r="G23" i="1"/>
  <c r="J22" i="1"/>
  <c r="I22" i="1"/>
  <c r="H22" i="1"/>
  <c r="G22" i="1"/>
  <c r="J21" i="1"/>
  <c r="I21" i="1"/>
  <c r="H21" i="1"/>
  <c r="G21" i="1"/>
  <c r="J20" i="1"/>
  <c r="I20" i="1"/>
  <c r="H20" i="1"/>
  <c r="G20" i="1"/>
  <c r="J19" i="1"/>
  <c r="I19" i="1"/>
  <c r="H19" i="1"/>
  <c r="G19" i="1"/>
  <c r="J18" i="1"/>
  <c r="I18" i="1"/>
  <c r="H18" i="1"/>
  <c r="G18" i="1"/>
  <c r="J17" i="1"/>
  <c r="I17" i="1"/>
  <c r="H17" i="1"/>
  <c r="G17" i="1"/>
  <c r="J16" i="1"/>
  <c r="I16" i="1"/>
  <c r="H16" i="1"/>
  <c r="G16" i="1"/>
  <c r="J15" i="1"/>
  <c r="I15" i="1"/>
  <c r="H15" i="1"/>
  <c r="G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J8" i="1"/>
  <c r="I8" i="1"/>
  <c r="H8" i="1"/>
  <c r="G8" i="1"/>
  <c r="J7" i="1"/>
  <c r="I7" i="1"/>
  <c r="H7" i="1"/>
  <c r="G7" i="1"/>
  <c r="J6" i="1"/>
  <c r="I6" i="1"/>
  <c r="H6" i="1"/>
  <c r="G6" i="1"/>
  <c r="J5" i="1"/>
  <c r="I5" i="1"/>
  <c r="H5" i="1"/>
  <c r="G5" i="1"/>
  <c r="J4" i="1"/>
  <c r="I4" i="1"/>
  <c r="H4" i="1"/>
  <c r="G4" i="1"/>
  <c r="J3" i="1"/>
  <c r="I3" i="1"/>
  <c r="H3" i="1"/>
  <c r="G3" i="1"/>
</calcChain>
</file>

<file path=xl/sharedStrings.xml><?xml version="1.0" encoding="utf-8"?>
<sst xmlns="http://schemas.openxmlformats.org/spreadsheetml/2006/main" count="58" uniqueCount="54">
  <si>
    <t>target_name</t>
  </si>
  <si>
    <t>uvq_score</t>
  </si>
  <si>
    <t>psnr_y</t>
  </si>
  <si>
    <t>ms_ssim</t>
  </si>
  <si>
    <t>vmaf</t>
  </si>
  <si>
    <t>controlled_burn_1080p_6000k.mp4</t>
  </si>
  <si>
    <t>controlled_burn_1080p_10000k.mp4</t>
  </si>
  <si>
    <t>controlled_burn_1080p_14000k.mp4</t>
  </si>
  <si>
    <t>controlled_burn_1080p_18000k.mp4</t>
  </si>
  <si>
    <t>controlled_burn_1080p_22000k.mp4</t>
  </si>
  <si>
    <t>controlled_burn_1080p_26000k.mp4</t>
  </si>
  <si>
    <t>controlled_burn_1080p_30000k.mp4</t>
  </si>
  <si>
    <t>ducks_take_off_2160p50_6000k.mp4</t>
  </si>
  <si>
    <t>ducks_take_off_2160p50_10000k.mp4</t>
  </si>
  <si>
    <t>ducks_take_off_2160p50_14000k.mp4</t>
  </si>
  <si>
    <t>ducks_take_off_2160p50_18000k.mp4</t>
  </si>
  <si>
    <t>ducks_take_off_2160p50_22000k.mp4</t>
  </si>
  <si>
    <t>ducks_take_off_2160p50_26000k.mp4</t>
  </si>
  <si>
    <t>ducks_take_off_2160p50_30000k.mp4</t>
  </si>
  <si>
    <t>park_joy_2160p50_6000k.mp4</t>
  </si>
  <si>
    <t>park_joy_2160p50_10000k.mp4</t>
  </si>
  <si>
    <t>park_joy_2160p50_14000k.mp4</t>
  </si>
  <si>
    <t>park_joy_2160p50_18000k.mp4</t>
  </si>
  <si>
    <t>park_joy_2160p50_22000k.mp4</t>
  </si>
  <si>
    <t>park_joy_2160p50_26000k.mp4</t>
  </si>
  <si>
    <t>park_joy_2160p50_30000k.mp4</t>
  </si>
  <si>
    <t>pedestrian_area_1080p25_6000k.mp4</t>
  </si>
  <si>
    <t>pedestrian_area_1080p25_10000k.mp4</t>
  </si>
  <si>
    <t>pedestrian_area_1080p25_14000k.mp4</t>
  </si>
  <si>
    <t>pedestrian_area_1080p25_18000k.mp4</t>
  </si>
  <si>
    <t>pedestrian_area_1080p25_22000k.mp4</t>
  </si>
  <si>
    <t>pedestrian_area_1080p25_26000k.mp4</t>
  </si>
  <si>
    <t>pedestrian_area_1080p25_30000k.mp4</t>
  </si>
  <si>
    <t>riverbed_1080p25_6000k.mp4</t>
  </si>
  <si>
    <t>riverbed_1080p25_10000k.mp4</t>
  </si>
  <si>
    <t>riverbed_1080p25_14000k.mp4</t>
  </si>
  <si>
    <t>riverbed_1080p25_18000k.mp4</t>
  </si>
  <si>
    <t>riverbed_1080p25_22000k.mp4</t>
  </si>
  <si>
    <t>riverbed_1080p25_26000k.mp4</t>
  </si>
  <si>
    <t>riverbed_1080p25_30000k.mp4</t>
  </si>
  <si>
    <t>rush_field_cuts_1080p_6000k.mp4</t>
  </si>
  <si>
    <t>rush_field_cuts_1080p_10000k.mp4</t>
  </si>
  <si>
    <t>rush_field_cuts_1080p_14000k.mp4</t>
  </si>
  <si>
    <t>rush_field_cuts_1080p_18000k.mp4</t>
  </si>
  <si>
    <t>rush_field_cuts_1080p_22000k.mp4</t>
  </si>
  <si>
    <t>rush_field_cuts_1080p_26000k.mp4</t>
  </si>
  <si>
    <t>rush_field_cuts_1080p_30000k.mp4</t>
  </si>
  <si>
    <t>rush_hour_1080p25_6000k.mp4</t>
  </si>
  <si>
    <t>rush_hour_1080p25_10000k.mp4</t>
  </si>
  <si>
    <t>rush_hour_1080p25_14000k.mp4</t>
  </si>
  <si>
    <t>rush_hour_1080p25_18000k.mp4</t>
  </si>
  <si>
    <t>rush_hour_1080p25_22000k.mp4</t>
  </si>
  <si>
    <t>rush_hour_1080p25_26000k.mp4</t>
  </si>
  <si>
    <t>rush_hour_1080p25_30000k.mp4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</si>
</sst>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000_ "/>
    <numFmt numFmtId="178" formatCode="0.00_ 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176" fontId="0" fillId="33" borderId="10" xfId="0" applyNumberFormat="1" applyFill="1" applyBorder="1">
      <alignment vertical="center"/>
    </xf>
    <xf numFmtId="177" fontId="0" fillId="33" borderId="10" xfId="0" applyNumberFormat="1" applyFill="1" applyBorder="1">
      <alignment vertical="center"/>
    </xf>
    <xf numFmtId="178" fontId="0" fillId="33" borderId="10" xfId="0" applyNumberFormat="1" applyFill="1" applyBorder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0" fillId="35" borderId="10" xfId="0" applyFill="1" applyBorder="1">
      <alignment vertical="center"/>
    </xf>
    <xf numFmtId="176" fontId="0" fillId="35" borderId="10" xfId="0" applyNumberFormat="1" applyFill="1" applyBorder="1">
      <alignment vertical="center"/>
    </xf>
    <xf numFmtId="177" fontId="0" fillId="35" borderId="10" xfId="0" applyNumberFormat="1" applyFill="1" applyBorder="1">
      <alignment vertical="center"/>
    </xf>
    <xf numFmtId="178" fontId="0" fillId="35" borderId="10" xfId="0" applyNumberFormat="1" applyFill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result!$G$3:$G$9</c:f>
              <c:numCache>
                <c:formatCode>0.00000_ </c:formatCode>
                <c:ptCount val="7"/>
                <c:pt idx="0">
                  <c:v>0</c:v>
                </c:pt>
                <c:pt idx="1">
                  <c:v>0.4107142857142877</c:v>
                </c:pt>
                <c:pt idx="2">
                  <c:v>0.67857142857142461</c:v>
                </c:pt>
                <c:pt idx="3">
                  <c:v>0.8392857142857163</c:v>
                </c:pt>
                <c:pt idx="4">
                  <c:v>0.9107142857142877</c:v>
                </c:pt>
                <c:pt idx="5">
                  <c:v>0.9107142857142877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B-49C3-AED6-E41B931D05C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result!$H$3:$H$9</c:f>
              <c:numCache>
                <c:formatCode>0.00000_ </c:formatCode>
                <c:ptCount val="7"/>
                <c:pt idx="0">
                  <c:v>0</c:v>
                </c:pt>
                <c:pt idx="1">
                  <c:v>0.27619926199261979</c:v>
                </c:pt>
                <c:pt idx="2">
                  <c:v>0.47103321033210266</c:v>
                </c:pt>
                <c:pt idx="3">
                  <c:v>0.6291512915129156</c:v>
                </c:pt>
                <c:pt idx="4">
                  <c:v>0.76605166051660512</c:v>
                </c:pt>
                <c:pt idx="5">
                  <c:v>0.88837638376383699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B-49C3-AED6-E41B931D05C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result!$I$3:$I$9</c:f>
              <c:numCache>
                <c:formatCode>0.00000_ </c:formatCode>
                <c:ptCount val="7"/>
                <c:pt idx="0">
                  <c:v>0</c:v>
                </c:pt>
                <c:pt idx="1">
                  <c:v>0.40655737704918687</c:v>
                </c:pt>
                <c:pt idx="2">
                  <c:v>0.61803278688525487</c:v>
                </c:pt>
                <c:pt idx="3">
                  <c:v>0.75737704918032156</c:v>
                </c:pt>
                <c:pt idx="4">
                  <c:v>0.85901639344262748</c:v>
                </c:pt>
                <c:pt idx="5">
                  <c:v>0.93770491803279732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9B-49C3-AED6-E41B931D05C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result!$J$3:$J$9</c:f>
              <c:numCache>
                <c:formatCode>0.00000_ </c:formatCode>
                <c:ptCount val="7"/>
                <c:pt idx="0">
                  <c:v>0</c:v>
                </c:pt>
                <c:pt idx="1">
                  <c:v>0.45412844036697347</c:v>
                </c:pt>
                <c:pt idx="2">
                  <c:v>0.65825688073394606</c:v>
                </c:pt>
                <c:pt idx="3">
                  <c:v>0.78899082568807299</c:v>
                </c:pt>
                <c:pt idx="4">
                  <c:v>0.87844036697247674</c:v>
                </c:pt>
                <c:pt idx="5">
                  <c:v>0.94495412844036819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9B-49C3-AED6-E41B931D0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4646728"/>
        <c:axId val="804651048"/>
      </c:lineChart>
      <c:catAx>
        <c:axId val="8046467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4651048"/>
        <c:crosses val="autoZero"/>
        <c:auto val="1"/>
        <c:lblAlgn val="ctr"/>
        <c:lblOffset val="100"/>
        <c:noMultiLvlLbl val="0"/>
      </c:catAx>
      <c:valAx>
        <c:axId val="80465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4646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result!$G$10:$G$16</c:f>
              <c:numCache>
                <c:formatCode>0.00000_ </c:formatCode>
                <c:ptCount val="7"/>
                <c:pt idx="0">
                  <c:v>0</c:v>
                </c:pt>
                <c:pt idx="1">
                  <c:v>0.31137724550898266</c:v>
                </c:pt>
                <c:pt idx="2">
                  <c:v>0.55089820359281549</c:v>
                </c:pt>
                <c:pt idx="3">
                  <c:v>0.74850299401197684</c:v>
                </c:pt>
                <c:pt idx="4">
                  <c:v>0.8383233532934149</c:v>
                </c:pt>
                <c:pt idx="5">
                  <c:v>0.95209580838323349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C4-41D0-B7CB-469153E327E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result!$H$10:$H$16</c:f>
              <c:numCache>
                <c:formatCode>0.00000_ </c:formatCode>
                <c:ptCount val="7"/>
                <c:pt idx="0">
                  <c:v>0</c:v>
                </c:pt>
                <c:pt idx="1">
                  <c:v>0.33267326732673236</c:v>
                </c:pt>
                <c:pt idx="2">
                  <c:v>0.54811881188118783</c:v>
                </c:pt>
                <c:pt idx="3">
                  <c:v>0.69940594059405947</c:v>
                </c:pt>
                <c:pt idx="4">
                  <c:v>0.81584158415841601</c:v>
                </c:pt>
                <c:pt idx="5">
                  <c:v>0.91524752475247451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C4-41D0-B7CB-469153E327E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result!$I$10:$I$16</c:f>
              <c:numCache>
                <c:formatCode>0.00000_ </c:formatCode>
                <c:ptCount val="7"/>
                <c:pt idx="0">
                  <c:v>0</c:v>
                </c:pt>
                <c:pt idx="1">
                  <c:v>0.39973122293564239</c:v>
                </c:pt>
                <c:pt idx="2">
                  <c:v>0.61848588920412162</c:v>
                </c:pt>
                <c:pt idx="3">
                  <c:v>0.75854860385247092</c:v>
                </c:pt>
                <c:pt idx="4">
                  <c:v>0.85814543825593614</c:v>
                </c:pt>
                <c:pt idx="5">
                  <c:v>0.93713603105868393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C4-41D0-B7CB-469153E327EC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result!$J$10:$J$16</c:f>
              <c:numCache>
                <c:formatCode>0.00000_ </c:formatCode>
                <c:ptCount val="7"/>
                <c:pt idx="0">
                  <c:v>0</c:v>
                </c:pt>
                <c:pt idx="1">
                  <c:v>0.30039525691699609</c:v>
                </c:pt>
                <c:pt idx="2">
                  <c:v>0.51778656126482181</c:v>
                </c:pt>
                <c:pt idx="3">
                  <c:v>0.67654808959156731</c:v>
                </c:pt>
                <c:pt idx="4">
                  <c:v>0.79973649538866898</c:v>
                </c:pt>
                <c:pt idx="5">
                  <c:v>0.90711462450592817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C4-41D0-B7CB-469153E32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766808"/>
        <c:axId val="875768608"/>
      </c:lineChart>
      <c:catAx>
        <c:axId val="875766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5768608"/>
        <c:crosses val="autoZero"/>
        <c:auto val="1"/>
        <c:lblAlgn val="ctr"/>
        <c:lblOffset val="100"/>
        <c:noMultiLvlLbl val="0"/>
      </c:catAx>
      <c:valAx>
        <c:axId val="875768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5766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47624</xdr:colOff>
      <xdr:row>1</xdr:row>
      <xdr:rowOff>180974</xdr:rowOff>
    </xdr:from>
    <xdr:to>
      <xdr:col>21</xdr:col>
      <xdr:colOff>400049</xdr:colOff>
      <xdr:row>18</xdr:row>
      <xdr:rowOff>133349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6F9CBD4-6574-FEE1-0BE1-CC59525D8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114299</xdr:colOff>
      <xdr:row>19</xdr:row>
      <xdr:rowOff>95250</xdr:rowOff>
    </xdr:from>
    <xdr:to>
      <xdr:col>21</xdr:col>
      <xdr:colOff>447674</xdr:colOff>
      <xdr:row>34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53CAFFA-1A06-09F2-368D-C91C45F1F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6881-401D-41AE-970B-9143F59F812C}">
  <dimension ref="A2:J51"/>
  <sheetViews>
    <sheetView tabSelected="1" topLeftCell="A4" workbookViewId="0">
      <selection activeCell="M37" sqref="M37"/>
    </sheetView>
  </sheetViews>
  <sheetFormatPr defaultRowHeight="16.5" x14ac:dyDescent="0.3"/>
  <cols>
    <col min="1" max="1" width="41.75" style="1" customWidth="1"/>
    <col min="2" max="2" width="10.625" style="1" customWidth="1"/>
    <col min="3" max="3" width="11.5" style="1" customWidth="1"/>
    <col min="4" max="5" width="9" style="1"/>
    <col min="6" max="6" width="1.875" style="1" customWidth="1"/>
    <col min="7" max="16384" width="9" style="1"/>
  </cols>
  <sheetData>
    <row r="2" spans="1:10" x14ac:dyDescent="0.3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G2" s="6" t="s">
        <v>1</v>
      </c>
      <c r="H2" s="6" t="s">
        <v>2</v>
      </c>
      <c r="I2" s="6" t="s">
        <v>3</v>
      </c>
      <c r="J2" s="6" t="s">
        <v>4</v>
      </c>
    </row>
    <row r="3" spans="1:10" x14ac:dyDescent="0.3">
      <c r="A3" s="2" t="s">
        <v>5</v>
      </c>
      <c r="B3" s="3">
        <v>3.75</v>
      </c>
      <c r="C3" s="3">
        <v>39.356999999999999</v>
      </c>
      <c r="D3" s="4">
        <v>0.99138999999999999</v>
      </c>
      <c r="E3" s="5">
        <v>93.55</v>
      </c>
      <c r="G3" s="4">
        <f>(B3-MIN(B$3:B$9)) / (MAX(B$3:B$9) - MIN(B$3:B$9))</f>
        <v>0</v>
      </c>
      <c r="H3" s="4">
        <f t="shared" ref="H3:H9" si="0">(C3-MIN(C$3:C$9)) / (MAX(C$3:C$9) - MIN(C$3:C$9))</f>
        <v>0</v>
      </c>
      <c r="I3" s="4">
        <f t="shared" ref="I3:I9" si="1">(D3-MIN(D$3:D$9)) / (MAX(D$3:D$9) - MIN(D$3:D$9))</f>
        <v>0</v>
      </c>
      <c r="J3" s="4">
        <f t="shared" ref="J3:J9" si="2">(E3-MIN(E$3:E$9)) / (MAX(E$3:E$9) - MIN(E$3:E$9))</f>
        <v>0</v>
      </c>
    </row>
    <row r="4" spans="1:10" x14ac:dyDescent="0.3">
      <c r="A4" s="2" t="s">
        <v>6</v>
      </c>
      <c r="B4" s="3">
        <v>3.7730000000000001</v>
      </c>
      <c r="C4" s="3">
        <v>40.853999999999999</v>
      </c>
      <c r="D4" s="4">
        <v>0.99387000000000003</v>
      </c>
      <c r="E4" s="5">
        <v>95.53</v>
      </c>
      <c r="G4" s="4">
        <f t="shared" ref="G4:G9" si="3">(B4-MIN(B$3:B$9)) / (MAX(B$3:B$9) - MIN(B$3:B$9))</f>
        <v>0.4107142857142877</v>
      </c>
      <c r="H4" s="4">
        <f t="shared" si="0"/>
        <v>0.27619926199261979</v>
      </c>
      <c r="I4" s="4">
        <f t="shared" si="1"/>
        <v>0.40655737704918687</v>
      </c>
      <c r="J4" s="4">
        <f t="shared" si="2"/>
        <v>0.45412844036697347</v>
      </c>
    </row>
    <row r="5" spans="1:10" x14ac:dyDescent="0.3">
      <c r="A5" s="2" t="s">
        <v>7</v>
      </c>
      <c r="B5" s="3">
        <v>3.7879999999999998</v>
      </c>
      <c r="C5" s="3">
        <v>41.91</v>
      </c>
      <c r="D5" s="4">
        <v>0.99516000000000004</v>
      </c>
      <c r="E5" s="5">
        <v>96.42</v>
      </c>
      <c r="G5" s="4">
        <f t="shared" si="3"/>
        <v>0.67857142857142461</v>
      </c>
      <c r="H5" s="4">
        <f t="shared" si="0"/>
        <v>0.47103321033210266</v>
      </c>
      <c r="I5" s="4">
        <f t="shared" si="1"/>
        <v>0.61803278688525487</v>
      </c>
      <c r="J5" s="4">
        <f t="shared" si="2"/>
        <v>0.65825688073394606</v>
      </c>
    </row>
    <row r="6" spans="1:10" x14ac:dyDescent="0.3">
      <c r="A6" s="2" t="s">
        <v>8</v>
      </c>
      <c r="B6" s="3">
        <v>3.7970000000000002</v>
      </c>
      <c r="C6" s="3">
        <v>42.767000000000003</v>
      </c>
      <c r="D6" s="4">
        <v>0.99600999999999995</v>
      </c>
      <c r="E6" s="5">
        <v>96.99</v>
      </c>
      <c r="G6" s="4">
        <f t="shared" si="3"/>
        <v>0.8392857142857163</v>
      </c>
      <c r="H6" s="4">
        <f t="shared" si="0"/>
        <v>0.6291512915129156</v>
      </c>
      <c r="I6" s="4">
        <f t="shared" si="1"/>
        <v>0.75737704918032156</v>
      </c>
      <c r="J6" s="4">
        <f t="shared" si="2"/>
        <v>0.78899082568807299</v>
      </c>
    </row>
    <row r="7" spans="1:10" x14ac:dyDescent="0.3">
      <c r="A7" s="2" t="s">
        <v>9</v>
      </c>
      <c r="B7" s="3">
        <v>3.8010000000000002</v>
      </c>
      <c r="C7" s="3">
        <v>43.509</v>
      </c>
      <c r="D7" s="4">
        <v>0.99663000000000002</v>
      </c>
      <c r="E7" s="5">
        <v>97.38</v>
      </c>
      <c r="G7" s="4">
        <f t="shared" si="3"/>
        <v>0.9107142857142877</v>
      </c>
      <c r="H7" s="4">
        <f t="shared" si="0"/>
        <v>0.76605166051660512</v>
      </c>
      <c r="I7" s="4">
        <f t="shared" si="1"/>
        <v>0.85901639344262748</v>
      </c>
      <c r="J7" s="4">
        <f t="shared" si="2"/>
        <v>0.87844036697247674</v>
      </c>
    </row>
    <row r="8" spans="1:10" x14ac:dyDescent="0.3">
      <c r="A8" s="2" t="s">
        <v>10</v>
      </c>
      <c r="B8" s="3">
        <v>3.8010000000000002</v>
      </c>
      <c r="C8" s="3">
        <v>44.171999999999997</v>
      </c>
      <c r="D8" s="4">
        <v>0.99711000000000005</v>
      </c>
      <c r="E8" s="5">
        <v>97.67</v>
      </c>
      <c r="G8" s="4">
        <f t="shared" si="3"/>
        <v>0.9107142857142877</v>
      </c>
      <c r="H8" s="4">
        <f t="shared" si="0"/>
        <v>0.88837638376383699</v>
      </c>
      <c r="I8" s="4">
        <f t="shared" si="1"/>
        <v>0.93770491803279732</v>
      </c>
      <c r="J8" s="4">
        <f t="shared" si="2"/>
        <v>0.94495412844036819</v>
      </c>
    </row>
    <row r="9" spans="1:10" x14ac:dyDescent="0.3">
      <c r="A9" s="2" t="s">
        <v>11</v>
      </c>
      <c r="B9" s="3">
        <v>3.806</v>
      </c>
      <c r="C9" s="3">
        <v>44.777000000000001</v>
      </c>
      <c r="D9" s="4">
        <v>0.99748999999999999</v>
      </c>
      <c r="E9" s="5">
        <v>97.91</v>
      </c>
      <c r="G9" s="4">
        <f t="shared" si="3"/>
        <v>1</v>
      </c>
      <c r="H9" s="4">
        <f t="shared" si="0"/>
        <v>1</v>
      </c>
      <c r="I9" s="4">
        <f t="shared" si="1"/>
        <v>1</v>
      </c>
      <c r="J9" s="4">
        <f t="shared" si="2"/>
        <v>1</v>
      </c>
    </row>
    <row r="10" spans="1:10" x14ac:dyDescent="0.3">
      <c r="A10" s="7" t="s">
        <v>12</v>
      </c>
      <c r="B10" s="8">
        <v>3.742</v>
      </c>
      <c r="C10" s="8">
        <v>26.995999999999999</v>
      </c>
      <c r="D10" s="9">
        <v>0.87422</v>
      </c>
      <c r="E10" s="10">
        <v>67.69</v>
      </c>
      <c r="G10" s="9">
        <f>(B10-MIN(B$10:B$16)) / (MAX(B$10:B$16) - MIN(B$10:B$16))</f>
        <v>0</v>
      </c>
      <c r="H10" s="9">
        <f t="shared" ref="H10:H16" si="4">(C10-MIN(C$10:C$16)) / (MAX(C$10:C$16) - MIN(C$10:C$16))</f>
        <v>0</v>
      </c>
      <c r="I10" s="9">
        <f t="shared" ref="I10:I16" si="5">(D10-MIN(D$10:D$16)) / (MAX(D$10:D$16) - MIN(D$10:D$16))</f>
        <v>0</v>
      </c>
      <c r="J10" s="9">
        <f t="shared" ref="J10:J16" si="6">(E10-MIN(E$10:E$16)) / (MAX(E$10:E$16) - MIN(E$10:E$16))</f>
        <v>0</v>
      </c>
    </row>
    <row r="11" spans="1:10" x14ac:dyDescent="0.3">
      <c r="A11" s="7" t="s">
        <v>13</v>
      </c>
      <c r="B11" s="8">
        <v>3.794</v>
      </c>
      <c r="C11" s="8">
        <v>27.835999999999999</v>
      </c>
      <c r="D11" s="9">
        <v>0.90098999999999996</v>
      </c>
      <c r="E11" s="10">
        <v>72.25</v>
      </c>
      <c r="G11" s="9">
        <f t="shared" ref="G11:G16" si="7">(B11-MIN(B$10:B$16)) / (MAX(B$10:B$16) - MIN(B$10:B$16))</f>
        <v>0.31137724550898266</v>
      </c>
      <c r="H11" s="9">
        <f t="shared" si="4"/>
        <v>0.33267326732673236</v>
      </c>
      <c r="I11" s="9">
        <f t="shared" si="5"/>
        <v>0.39973122293564239</v>
      </c>
      <c r="J11" s="9">
        <f t="shared" si="6"/>
        <v>0.30039525691699609</v>
      </c>
    </row>
    <row r="12" spans="1:10" x14ac:dyDescent="0.3">
      <c r="A12" s="7" t="s">
        <v>14</v>
      </c>
      <c r="B12" s="8">
        <v>3.8340000000000001</v>
      </c>
      <c r="C12" s="8">
        <v>28.38</v>
      </c>
      <c r="D12" s="9">
        <v>0.91564000000000001</v>
      </c>
      <c r="E12" s="10">
        <v>75.55</v>
      </c>
      <c r="G12" s="9">
        <f t="shared" si="7"/>
        <v>0.55089820359281549</v>
      </c>
      <c r="H12" s="9">
        <f t="shared" si="4"/>
        <v>0.54811881188118783</v>
      </c>
      <c r="I12" s="9">
        <f t="shared" si="5"/>
        <v>0.61848588920412162</v>
      </c>
      <c r="J12" s="9">
        <f t="shared" si="6"/>
        <v>0.51778656126482181</v>
      </c>
    </row>
    <row r="13" spans="1:10" x14ac:dyDescent="0.3">
      <c r="A13" s="7" t="s">
        <v>15</v>
      </c>
      <c r="B13" s="8">
        <v>3.867</v>
      </c>
      <c r="C13" s="8">
        <v>28.762</v>
      </c>
      <c r="D13" s="9">
        <v>0.92501999999999995</v>
      </c>
      <c r="E13" s="10">
        <v>77.959999999999994</v>
      </c>
      <c r="G13" s="9">
        <f t="shared" si="7"/>
        <v>0.74850299401197684</v>
      </c>
      <c r="H13" s="9">
        <f t="shared" si="4"/>
        <v>0.69940594059405947</v>
      </c>
      <c r="I13" s="9">
        <f t="shared" si="5"/>
        <v>0.75854860385247092</v>
      </c>
      <c r="J13" s="9">
        <f t="shared" si="6"/>
        <v>0.67654808959156731</v>
      </c>
    </row>
    <row r="14" spans="1:10" x14ac:dyDescent="0.3">
      <c r="A14" s="7" t="s">
        <v>16</v>
      </c>
      <c r="B14" s="8">
        <v>3.8820000000000001</v>
      </c>
      <c r="C14" s="8">
        <v>29.056000000000001</v>
      </c>
      <c r="D14" s="9">
        <v>0.93169000000000002</v>
      </c>
      <c r="E14" s="10">
        <v>79.83</v>
      </c>
      <c r="G14" s="9">
        <f t="shared" si="7"/>
        <v>0.8383233532934149</v>
      </c>
      <c r="H14" s="9">
        <f t="shared" si="4"/>
        <v>0.81584158415841601</v>
      </c>
      <c r="I14" s="9">
        <f t="shared" si="5"/>
        <v>0.85814543825593614</v>
      </c>
      <c r="J14" s="9">
        <f t="shared" si="6"/>
        <v>0.79973649538866898</v>
      </c>
    </row>
    <row r="15" spans="1:10" x14ac:dyDescent="0.3">
      <c r="A15" s="7" t="s">
        <v>17</v>
      </c>
      <c r="B15" s="8">
        <v>3.9009999999999998</v>
      </c>
      <c r="C15" s="8">
        <v>29.306999999999999</v>
      </c>
      <c r="D15" s="9">
        <v>0.93698000000000004</v>
      </c>
      <c r="E15" s="10">
        <v>81.459999999999994</v>
      </c>
      <c r="G15" s="9">
        <f t="shared" si="7"/>
        <v>0.95209580838323349</v>
      </c>
      <c r="H15" s="9">
        <f t="shared" si="4"/>
        <v>0.91524752475247451</v>
      </c>
      <c r="I15" s="9">
        <f t="shared" si="5"/>
        <v>0.93713603105868393</v>
      </c>
      <c r="J15" s="9">
        <f t="shared" si="6"/>
        <v>0.90711462450592817</v>
      </c>
    </row>
    <row r="16" spans="1:10" x14ac:dyDescent="0.3">
      <c r="A16" s="7" t="s">
        <v>18</v>
      </c>
      <c r="B16" s="8">
        <v>3.9089999999999998</v>
      </c>
      <c r="C16" s="8">
        <v>29.521000000000001</v>
      </c>
      <c r="D16" s="9">
        <v>0.94118999999999997</v>
      </c>
      <c r="E16" s="10">
        <v>82.87</v>
      </c>
      <c r="G16" s="9">
        <f t="shared" si="7"/>
        <v>1</v>
      </c>
      <c r="H16" s="9">
        <f t="shared" si="4"/>
        <v>1</v>
      </c>
      <c r="I16" s="9">
        <f t="shared" si="5"/>
        <v>1</v>
      </c>
      <c r="J16" s="9">
        <f t="shared" si="6"/>
        <v>1</v>
      </c>
    </row>
    <row r="17" spans="1:10" x14ac:dyDescent="0.3">
      <c r="A17" s="2" t="s">
        <v>19</v>
      </c>
      <c r="B17" s="3">
        <v>3.548</v>
      </c>
      <c r="C17" s="3">
        <v>27.42</v>
      </c>
      <c r="D17" s="4">
        <v>0.88263000000000003</v>
      </c>
      <c r="E17" s="5">
        <v>77.13</v>
      </c>
      <c r="G17" s="4">
        <f>(B17-MIN(B$17:B$23)) / (MAX(B$17:B$23) - MIN(B$17:B$23))</f>
        <v>0</v>
      </c>
      <c r="H17" s="4">
        <f t="shared" ref="H17:H23" si="8">(C17-MIN(C$17:C$23)) / (MAX(C$17:C$23) - MIN(C$17:C$23))</f>
        <v>0</v>
      </c>
      <c r="I17" s="4">
        <f t="shared" ref="I17:I23" si="9">(D17-MIN(D$17:D$23)) / (MAX(D$17:D$23) - MIN(D$17:D$23))</f>
        <v>0</v>
      </c>
      <c r="J17" s="4">
        <f t="shared" ref="J17:J23" si="10">(E17-MIN(E$17:E$23)) / (MAX(E$17:E$23) - MIN(E$17:E$23))</f>
        <v>0</v>
      </c>
    </row>
    <row r="18" spans="1:10" x14ac:dyDescent="0.3">
      <c r="A18" s="2" t="s">
        <v>20</v>
      </c>
      <c r="B18" s="3">
        <v>3.6389999999999998</v>
      </c>
      <c r="C18" s="3">
        <v>28.742999999999999</v>
      </c>
      <c r="D18" s="4">
        <v>0.91496</v>
      </c>
      <c r="E18" s="5">
        <v>82.93</v>
      </c>
      <c r="G18" s="4">
        <f t="shared" ref="G18:G23" si="11">(B18-MIN(B$17:B$23)) / (MAX(B$17:B$23) - MIN(B$17:B$23))</f>
        <v>0.42523364485981197</v>
      </c>
      <c r="H18" s="4">
        <f t="shared" si="8"/>
        <v>0.2969030520646313</v>
      </c>
      <c r="I18" s="4">
        <f t="shared" si="9"/>
        <v>0.41549929314998069</v>
      </c>
      <c r="J18" s="4">
        <f t="shared" si="10"/>
        <v>0.33448673587081951</v>
      </c>
    </row>
    <row r="19" spans="1:10" x14ac:dyDescent="0.3">
      <c r="A19" s="2" t="s">
        <v>21</v>
      </c>
      <c r="B19" s="3">
        <v>3.677</v>
      </c>
      <c r="C19" s="3">
        <v>29.67</v>
      </c>
      <c r="D19" s="4">
        <v>0.93208000000000002</v>
      </c>
      <c r="E19" s="5">
        <v>86.72</v>
      </c>
      <c r="G19" s="4">
        <f t="shared" si="11"/>
        <v>0.60280373831775713</v>
      </c>
      <c r="H19" s="4">
        <f t="shared" si="8"/>
        <v>0.50493716337522443</v>
      </c>
      <c r="I19" s="4">
        <f t="shared" si="9"/>
        <v>0.63552242642333934</v>
      </c>
      <c r="J19" s="4">
        <f t="shared" si="10"/>
        <v>0.55305651672433687</v>
      </c>
    </row>
    <row r="20" spans="1:10" x14ac:dyDescent="0.3">
      <c r="A20" s="2" t="s">
        <v>22</v>
      </c>
      <c r="B20" s="3">
        <v>3.714</v>
      </c>
      <c r="C20" s="3">
        <v>30.38</v>
      </c>
      <c r="D20" s="4">
        <v>0.94288000000000005</v>
      </c>
      <c r="E20" s="5">
        <v>89.43</v>
      </c>
      <c r="G20" s="4">
        <f t="shared" si="11"/>
        <v>0.77570093457943901</v>
      </c>
      <c r="H20" s="4">
        <f t="shared" si="8"/>
        <v>0.66427289048473914</v>
      </c>
      <c r="I20" s="4">
        <f t="shared" si="9"/>
        <v>0.77432206657242098</v>
      </c>
      <c r="J20" s="4">
        <f t="shared" si="10"/>
        <v>0.70934256055363376</v>
      </c>
    </row>
    <row r="21" spans="1:10" x14ac:dyDescent="0.3">
      <c r="A21" s="2" t="s">
        <v>23</v>
      </c>
      <c r="B21" s="3">
        <v>3.74</v>
      </c>
      <c r="C21" s="3">
        <v>30.960999999999999</v>
      </c>
      <c r="D21" s="4">
        <v>0.95052000000000003</v>
      </c>
      <c r="E21" s="5">
        <v>91.48</v>
      </c>
      <c r="G21" s="4">
        <f t="shared" si="11"/>
        <v>0.89719626168224387</v>
      </c>
      <c r="H21" s="4">
        <f t="shared" si="8"/>
        <v>0.79465888689407482</v>
      </c>
      <c r="I21" s="4">
        <f t="shared" si="9"/>
        <v>0.87250996015936333</v>
      </c>
      <c r="J21" s="4">
        <f t="shared" si="10"/>
        <v>0.82756632064590574</v>
      </c>
    </row>
    <row r="22" spans="1:10" x14ac:dyDescent="0.3">
      <c r="A22" s="2" t="s">
        <v>24</v>
      </c>
      <c r="B22" s="3">
        <v>3.7509999999999999</v>
      </c>
      <c r="C22" s="3">
        <v>31.452000000000002</v>
      </c>
      <c r="D22" s="4">
        <v>0.95608000000000004</v>
      </c>
      <c r="E22" s="5">
        <v>93.14</v>
      </c>
      <c r="G22" s="4">
        <f t="shared" si="11"/>
        <v>0.94859813084112088</v>
      </c>
      <c r="H22" s="4">
        <f t="shared" si="8"/>
        <v>0.90484739676840231</v>
      </c>
      <c r="I22" s="4">
        <f t="shared" si="9"/>
        <v>0.94396607119907561</v>
      </c>
      <c r="J22" s="4">
        <f t="shared" si="10"/>
        <v>0.92329873125720885</v>
      </c>
    </row>
    <row r="23" spans="1:10" x14ac:dyDescent="0.3">
      <c r="A23" s="2" t="s">
        <v>25</v>
      </c>
      <c r="B23" s="3">
        <v>3.762</v>
      </c>
      <c r="C23" s="3">
        <v>31.876000000000001</v>
      </c>
      <c r="D23" s="4">
        <v>0.96043999999999996</v>
      </c>
      <c r="E23" s="5">
        <v>94.47</v>
      </c>
      <c r="G23" s="4">
        <f t="shared" si="11"/>
        <v>1</v>
      </c>
      <c r="H23" s="4">
        <f t="shared" si="8"/>
        <v>1</v>
      </c>
      <c r="I23" s="4">
        <f t="shared" si="9"/>
        <v>1</v>
      </c>
      <c r="J23" s="4">
        <f t="shared" si="10"/>
        <v>1</v>
      </c>
    </row>
    <row r="24" spans="1:10" x14ac:dyDescent="0.3">
      <c r="A24" s="7" t="s">
        <v>26</v>
      </c>
      <c r="B24" s="8">
        <v>3.774</v>
      </c>
      <c r="C24" s="8">
        <v>42.14</v>
      </c>
      <c r="D24" s="9">
        <v>0.99255000000000004</v>
      </c>
      <c r="E24" s="10">
        <v>99.7</v>
      </c>
      <c r="G24" s="9">
        <f>(B24-MIN(B$24:B$30)) / (MAX(B$24:B$30) - MIN(B$24:B$30))</f>
        <v>0</v>
      </c>
      <c r="H24" s="9">
        <f t="shared" ref="H24:H30" si="12">(C24-MIN(C$24:C$30)) / (MAX(C$24:C$30) - MIN(C$24:C$30))</f>
        <v>0</v>
      </c>
      <c r="I24" s="9">
        <f t="shared" ref="I24:I30" si="13">(D24-MIN(D$24:D$30)) / (MAX(D$24:D$30) - MIN(D$24:D$30))</f>
        <v>0</v>
      </c>
      <c r="J24" s="9">
        <f t="shared" ref="J24:J30" si="14">(E24-MIN(E$24:E$30)) / (MAX(E$24:E$30) - MIN(E$24:E$30))</f>
        <v>0</v>
      </c>
    </row>
    <row r="25" spans="1:10" x14ac:dyDescent="0.3">
      <c r="A25" s="7" t="s">
        <v>27</v>
      </c>
      <c r="B25" s="8">
        <v>3.8140000000000001</v>
      </c>
      <c r="C25" s="8">
        <v>42.850999999999999</v>
      </c>
      <c r="D25" s="9">
        <v>0.99389000000000005</v>
      </c>
      <c r="E25" s="10">
        <v>99.89</v>
      </c>
      <c r="G25" s="9">
        <f t="shared" ref="G25:G30" si="15">(B25-MIN(B$24:B$30)) / (MAX(B$24:B$30) - MIN(B$24:B$30))</f>
        <v>0.39215686274509887</v>
      </c>
      <c r="H25" s="9">
        <f t="shared" si="12"/>
        <v>0.25557153127246562</v>
      </c>
      <c r="I25" s="9">
        <f t="shared" si="13"/>
        <v>0.34096692111959581</v>
      </c>
      <c r="J25" s="9">
        <f t="shared" si="14"/>
        <v>0.65517241379311364</v>
      </c>
    </row>
    <row r="26" spans="1:10" x14ac:dyDescent="0.3">
      <c r="A26" s="7" t="s">
        <v>28</v>
      </c>
      <c r="B26" s="8">
        <v>3.8410000000000002</v>
      </c>
      <c r="C26" s="8">
        <v>43.331000000000003</v>
      </c>
      <c r="D26" s="9">
        <v>0.99463999999999997</v>
      </c>
      <c r="E26" s="10">
        <v>99.94</v>
      </c>
      <c r="G26" s="9">
        <f t="shared" si="15"/>
        <v>0.65686274509804177</v>
      </c>
      <c r="H26" s="9">
        <f t="shared" si="12"/>
        <v>0.42810927390366788</v>
      </c>
      <c r="I26" s="9">
        <f t="shared" si="13"/>
        <v>0.53180661577606392</v>
      </c>
      <c r="J26" s="9">
        <f t="shared" si="14"/>
        <v>0.82758620689655682</v>
      </c>
    </row>
    <row r="27" spans="1:10" x14ac:dyDescent="0.3">
      <c r="A27" s="7" t="s">
        <v>29</v>
      </c>
      <c r="B27" s="8">
        <v>3.859</v>
      </c>
      <c r="C27" s="8">
        <v>43.756999999999998</v>
      </c>
      <c r="D27" s="9">
        <v>0.99521999999999999</v>
      </c>
      <c r="E27" s="10">
        <v>99.96</v>
      </c>
      <c r="G27" s="9">
        <f t="shared" si="15"/>
        <v>0.83333333333333404</v>
      </c>
      <c r="H27" s="9">
        <f t="shared" si="12"/>
        <v>0.58123652048885677</v>
      </c>
      <c r="I27" s="9">
        <f t="shared" si="13"/>
        <v>0.67938931297708849</v>
      </c>
      <c r="J27" s="9">
        <f t="shared" si="14"/>
        <v>0.89655172413792428</v>
      </c>
    </row>
    <row r="28" spans="1:10" x14ac:dyDescent="0.3">
      <c r="A28" s="7" t="s">
        <v>30</v>
      </c>
      <c r="B28" s="8">
        <v>3.8650000000000002</v>
      </c>
      <c r="C28" s="8">
        <v>44.158000000000001</v>
      </c>
      <c r="D28" s="9">
        <v>0.99570000000000003</v>
      </c>
      <c r="E28" s="10">
        <v>99.98</v>
      </c>
      <c r="G28" s="9">
        <f t="shared" si="15"/>
        <v>0.89215686274510109</v>
      </c>
      <c r="H28" s="9">
        <f t="shared" si="12"/>
        <v>0.72537742631200697</v>
      </c>
      <c r="I28" s="9">
        <f t="shared" si="13"/>
        <v>0.80152671755725058</v>
      </c>
      <c r="J28" s="9">
        <f t="shared" si="14"/>
        <v>0.96551724137934081</v>
      </c>
    </row>
    <row r="29" spans="1:10" x14ac:dyDescent="0.3">
      <c r="A29" s="7" t="s">
        <v>31</v>
      </c>
      <c r="B29" s="8">
        <v>3.8730000000000002</v>
      </c>
      <c r="C29" s="8">
        <v>44.542000000000002</v>
      </c>
      <c r="D29" s="9">
        <v>0.99612000000000001</v>
      </c>
      <c r="E29" s="10">
        <v>99.98</v>
      </c>
      <c r="G29" s="9">
        <f t="shared" si="15"/>
        <v>0.97058823529412086</v>
      </c>
      <c r="H29" s="9">
        <f t="shared" si="12"/>
        <v>0.86340762041696772</v>
      </c>
      <c r="I29" s="9">
        <f t="shared" si="13"/>
        <v>0.90839694656487835</v>
      </c>
      <c r="J29" s="9">
        <f t="shared" si="14"/>
        <v>0.96551724137934081</v>
      </c>
    </row>
    <row r="30" spans="1:10" x14ac:dyDescent="0.3">
      <c r="A30" s="7" t="s">
        <v>32</v>
      </c>
      <c r="B30" s="8">
        <v>3.8759999999999999</v>
      </c>
      <c r="C30" s="8">
        <v>44.921999999999997</v>
      </c>
      <c r="D30" s="9">
        <v>0.99648000000000003</v>
      </c>
      <c r="E30" s="10">
        <v>99.99</v>
      </c>
      <c r="G30" s="9">
        <f t="shared" si="15"/>
        <v>1</v>
      </c>
      <c r="H30" s="9">
        <f t="shared" si="12"/>
        <v>1</v>
      </c>
      <c r="I30" s="9">
        <f t="shared" si="13"/>
        <v>1</v>
      </c>
      <c r="J30" s="9">
        <f t="shared" si="14"/>
        <v>1</v>
      </c>
    </row>
    <row r="31" spans="1:10" x14ac:dyDescent="0.3">
      <c r="A31" s="2" t="s">
        <v>33</v>
      </c>
      <c r="B31" s="3">
        <v>3.2519999999999998</v>
      </c>
      <c r="C31" s="3">
        <v>33.518000000000001</v>
      </c>
      <c r="D31" s="4">
        <v>0.95081000000000004</v>
      </c>
      <c r="E31" s="5">
        <v>84.59</v>
      </c>
      <c r="G31" s="4">
        <f>(B31-MIN(B$31:B$37)) / (MAX(B$31:B$37) - MIN(B$31:B$37))</f>
        <v>0</v>
      </c>
      <c r="H31" s="4">
        <f t="shared" ref="H31:H37" si="16">(C31-MIN(C$31:C$37)) / (MAX(C$31:C$37) - MIN(C$31:C$37))</f>
        <v>0</v>
      </c>
      <c r="I31" s="4">
        <f t="shared" ref="I31:I37" si="17">(D31-MIN(D$31:D$37)) / (MAX(D$31:D$37) - MIN(D$31:D$37))</f>
        <v>0</v>
      </c>
      <c r="J31" s="4">
        <f t="shared" ref="J31:J37" si="18">(E31-MIN(E$31:E$37)) / (MAX(E$31:E$37) - MIN(E$31:E$37))</f>
        <v>0</v>
      </c>
    </row>
    <row r="32" spans="1:10" x14ac:dyDescent="0.3">
      <c r="A32" s="2" t="s">
        <v>34</v>
      </c>
      <c r="B32" s="3">
        <v>3.331</v>
      </c>
      <c r="C32" s="3">
        <v>35.759</v>
      </c>
      <c r="D32" s="4">
        <v>0.97262999999999999</v>
      </c>
      <c r="E32" s="5">
        <v>97.36</v>
      </c>
      <c r="G32" s="4">
        <f t="shared" ref="G32:G37" si="19">(B32-MIN(B$31:B$37)) / (MAX(B$31:B$37) - MIN(B$31:B$37))</f>
        <v>0.32780082987551928</v>
      </c>
      <c r="H32" s="4">
        <f t="shared" si="16"/>
        <v>0.32101418134937676</v>
      </c>
      <c r="I32" s="4">
        <f t="shared" si="17"/>
        <v>0.51964753512741046</v>
      </c>
      <c r="J32" s="4">
        <f t="shared" si="18"/>
        <v>0.82922077922077941</v>
      </c>
    </row>
    <row r="33" spans="1:10" x14ac:dyDescent="0.3">
      <c r="A33" s="2" t="s">
        <v>35</v>
      </c>
      <c r="B33" s="3">
        <v>3.391</v>
      </c>
      <c r="C33" s="3">
        <v>37.259</v>
      </c>
      <c r="D33" s="4">
        <v>0.98184000000000005</v>
      </c>
      <c r="E33" s="5">
        <v>99.98</v>
      </c>
      <c r="G33" s="4">
        <f t="shared" si="19"/>
        <v>0.57676348547717915</v>
      </c>
      <c r="H33" s="4">
        <f t="shared" si="16"/>
        <v>0.53588311130210553</v>
      </c>
      <c r="I33" s="4">
        <f t="shared" si="17"/>
        <v>0.73898547273160331</v>
      </c>
      <c r="J33" s="4">
        <f t="shared" si="18"/>
        <v>0.99935064935064999</v>
      </c>
    </row>
    <row r="34" spans="1:10" x14ac:dyDescent="0.3">
      <c r="A34" s="2" t="s">
        <v>36</v>
      </c>
      <c r="B34" s="3">
        <v>3.423</v>
      </c>
      <c r="C34" s="3">
        <v>38.377000000000002</v>
      </c>
      <c r="D34" s="4">
        <v>0.98670999999999998</v>
      </c>
      <c r="E34" s="5">
        <v>99.98</v>
      </c>
      <c r="G34" s="4">
        <f t="shared" si="19"/>
        <v>0.7095435684647311</v>
      </c>
      <c r="H34" s="4">
        <f t="shared" si="16"/>
        <v>0.6960320870935397</v>
      </c>
      <c r="I34" s="4">
        <f t="shared" si="17"/>
        <v>0.85496546796856288</v>
      </c>
      <c r="J34" s="4">
        <f t="shared" si="18"/>
        <v>0.99935064935064999</v>
      </c>
    </row>
    <row r="35" spans="1:10" x14ac:dyDescent="0.3">
      <c r="A35" s="2" t="s">
        <v>37</v>
      </c>
      <c r="B35" s="3">
        <v>3.452</v>
      </c>
      <c r="C35" s="3">
        <v>39.234000000000002</v>
      </c>
      <c r="D35" s="4">
        <v>0.98960999999999999</v>
      </c>
      <c r="E35" s="5">
        <v>99.99</v>
      </c>
      <c r="G35" s="4">
        <f t="shared" si="19"/>
        <v>0.82987551867219955</v>
      </c>
      <c r="H35" s="4">
        <f t="shared" si="16"/>
        <v>0.81879386907319862</v>
      </c>
      <c r="I35" s="4">
        <f t="shared" si="17"/>
        <v>0.92402953084067563</v>
      </c>
      <c r="J35" s="4">
        <f t="shared" si="18"/>
        <v>1</v>
      </c>
    </row>
    <row r="36" spans="1:10" x14ac:dyDescent="0.3">
      <c r="A36" s="2" t="s">
        <v>38</v>
      </c>
      <c r="B36" s="3">
        <v>3.4729999999999999</v>
      </c>
      <c r="C36" s="3">
        <v>39.921999999999997</v>
      </c>
      <c r="D36" s="4">
        <v>0.99148999999999998</v>
      </c>
      <c r="E36" s="5">
        <v>99.99</v>
      </c>
      <c r="G36" s="4">
        <f t="shared" si="19"/>
        <v>0.91701244813278004</v>
      </c>
      <c r="H36" s="4">
        <f t="shared" si="16"/>
        <v>0.91734708494484962</v>
      </c>
      <c r="I36" s="4">
        <f t="shared" si="17"/>
        <v>0.96880209573707943</v>
      </c>
      <c r="J36" s="4">
        <f t="shared" si="18"/>
        <v>1</v>
      </c>
    </row>
    <row r="37" spans="1:10" x14ac:dyDescent="0.3">
      <c r="A37" s="2" t="s">
        <v>39</v>
      </c>
      <c r="B37" s="3">
        <v>3.4929999999999999</v>
      </c>
      <c r="C37" s="3">
        <v>40.499000000000002</v>
      </c>
      <c r="D37" s="4">
        <v>0.99280000000000002</v>
      </c>
      <c r="E37" s="5">
        <v>99.99</v>
      </c>
      <c r="G37" s="4">
        <f t="shared" si="19"/>
        <v>1</v>
      </c>
      <c r="H37" s="4">
        <f t="shared" si="16"/>
        <v>1</v>
      </c>
      <c r="I37" s="4">
        <f t="shared" si="17"/>
        <v>1</v>
      </c>
      <c r="J37" s="4">
        <f t="shared" si="18"/>
        <v>1</v>
      </c>
    </row>
    <row r="38" spans="1:10" x14ac:dyDescent="0.3">
      <c r="A38" s="7" t="s">
        <v>40</v>
      </c>
      <c r="B38" s="8">
        <v>3.7610000000000001</v>
      </c>
      <c r="C38" s="8">
        <v>35.594000000000001</v>
      </c>
      <c r="D38" s="9">
        <v>0.97955000000000003</v>
      </c>
      <c r="E38" s="10">
        <v>91.61</v>
      </c>
      <c r="G38" s="9">
        <f>(B38-MIN(B$38:B$44)) / (MAX(B$38:B$44) - MIN(B$38:B$44))</f>
        <v>0</v>
      </c>
      <c r="H38" s="9">
        <f t="shared" ref="H38:H44" si="20">(C38-MIN(C$38:C$44)) / (MAX(C$38:C$44) - MIN(C$38:C$44))</f>
        <v>0</v>
      </c>
      <c r="I38" s="9">
        <f t="shared" ref="I38:I44" si="21">(D38-MIN(D$38:D$44)) / (MAX(D$38:D$44) - MIN(D$38:D$44))</f>
        <v>0</v>
      </c>
      <c r="J38" s="9">
        <f t="shared" ref="J38:J44" si="22">(E38-MIN(E$38:E$44)) / (MAX(E$38:E$44) - MIN(E$38:E$44))</f>
        <v>0</v>
      </c>
    </row>
    <row r="39" spans="1:10" x14ac:dyDescent="0.3">
      <c r="A39" s="7" t="s">
        <v>41</v>
      </c>
      <c r="B39" s="8">
        <v>3.8330000000000002</v>
      </c>
      <c r="C39" s="8">
        <v>37.156999999999996</v>
      </c>
      <c r="D39" s="9">
        <v>0.98614999999999997</v>
      </c>
      <c r="E39" s="10">
        <v>95.78</v>
      </c>
      <c r="G39" s="9">
        <f t="shared" ref="G39:G44" si="23">(B39-MIN(B$38:B$44)) / (MAX(B$38:B$44) - MIN(B$38:B$44))</f>
        <v>0.51063829787234083</v>
      </c>
      <c r="H39" s="9">
        <f t="shared" si="20"/>
        <v>0.32712431979907819</v>
      </c>
      <c r="I39" s="9">
        <f t="shared" si="21"/>
        <v>0.47965116279069347</v>
      </c>
      <c r="J39" s="9">
        <f t="shared" si="22"/>
        <v>0.5394566623544631</v>
      </c>
    </row>
    <row r="40" spans="1:10" x14ac:dyDescent="0.3">
      <c r="A40" s="7" t="s">
        <v>42</v>
      </c>
      <c r="B40" s="8">
        <v>3.8650000000000002</v>
      </c>
      <c r="C40" s="8">
        <v>38.085999999999999</v>
      </c>
      <c r="D40" s="9">
        <v>0.98894000000000004</v>
      </c>
      <c r="E40" s="10">
        <v>97.41</v>
      </c>
      <c r="G40" s="9">
        <f t="shared" si="23"/>
        <v>0.73758865248227012</v>
      </c>
      <c r="H40" s="9">
        <f t="shared" si="20"/>
        <v>0.52155713687735417</v>
      </c>
      <c r="I40" s="9">
        <f t="shared" si="21"/>
        <v>0.68241279069767535</v>
      </c>
      <c r="J40" s="9">
        <f t="shared" si="22"/>
        <v>0.75032341526519974</v>
      </c>
    </row>
    <row r="41" spans="1:10" x14ac:dyDescent="0.3">
      <c r="A41" s="7" t="s">
        <v>43</v>
      </c>
      <c r="B41" s="8">
        <v>3.8839999999999999</v>
      </c>
      <c r="C41" s="8">
        <v>38.777999999999999</v>
      </c>
      <c r="D41" s="9">
        <v>0.99056</v>
      </c>
      <c r="E41" s="10">
        <v>98.28</v>
      </c>
      <c r="G41" s="9">
        <f t="shared" si="23"/>
        <v>0.87234042553191327</v>
      </c>
      <c r="H41" s="9">
        <f t="shared" si="20"/>
        <v>0.66638760987861001</v>
      </c>
      <c r="I41" s="9">
        <f t="shared" si="21"/>
        <v>0.800145348837207</v>
      </c>
      <c r="J41" s="9">
        <f t="shared" si="22"/>
        <v>0.86287192755498032</v>
      </c>
    </row>
    <row r="42" spans="1:10" x14ac:dyDescent="0.3">
      <c r="A42" s="7" t="s">
        <v>44</v>
      </c>
      <c r="B42" s="8">
        <v>3.8879999999999999</v>
      </c>
      <c r="C42" s="8">
        <v>39.360999999999997</v>
      </c>
      <c r="D42" s="9">
        <v>0.99170000000000003</v>
      </c>
      <c r="E42" s="10">
        <v>98.75</v>
      </c>
      <c r="G42" s="9">
        <f t="shared" si="23"/>
        <v>0.90070921985815433</v>
      </c>
      <c r="H42" s="9">
        <f t="shared" si="20"/>
        <v>0.78840519045625723</v>
      </c>
      <c r="I42" s="9">
        <f t="shared" si="21"/>
        <v>0.88299418604651159</v>
      </c>
      <c r="J42" s="9">
        <f t="shared" si="22"/>
        <v>0.92367399741267753</v>
      </c>
    </row>
    <row r="43" spans="1:10" x14ac:dyDescent="0.3">
      <c r="A43" s="7" t="s">
        <v>45</v>
      </c>
      <c r="B43" s="8">
        <v>3.8980000000000001</v>
      </c>
      <c r="C43" s="8">
        <v>39.883000000000003</v>
      </c>
      <c r="D43" s="9">
        <v>0.99258000000000002</v>
      </c>
      <c r="E43" s="10">
        <v>99.08</v>
      </c>
      <c r="G43" s="9">
        <f t="shared" si="23"/>
        <v>0.97163120567375882</v>
      </c>
      <c r="H43" s="9">
        <f t="shared" si="20"/>
        <v>0.89765592298032704</v>
      </c>
      <c r="I43" s="9">
        <f t="shared" si="21"/>
        <v>0.94694767441860406</v>
      </c>
      <c r="J43" s="9">
        <f t="shared" si="22"/>
        <v>0.96636481241914551</v>
      </c>
    </row>
    <row r="44" spans="1:10" x14ac:dyDescent="0.3">
      <c r="A44" s="7" t="s">
        <v>46</v>
      </c>
      <c r="B44" s="8">
        <v>3.9020000000000001</v>
      </c>
      <c r="C44" s="8">
        <v>40.372</v>
      </c>
      <c r="D44" s="9">
        <v>0.99331000000000003</v>
      </c>
      <c r="E44" s="10">
        <v>99.34</v>
      </c>
      <c r="G44" s="9">
        <f t="shared" si="23"/>
        <v>1</v>
      </c>
      <c r="H44" s="9">
        <f t="shared" si="20"/>
        <v>1</v>
      </c>
      <c r="I44" s="9">
        <f t="shared" si="21"/>
        <v>1</v>
      </c>
      <c r="J44" s="9">
        <f t="shared" si="22"/>
        <v>1</v>
      </c>
    </row>
    <row r="45" spans="1:10" x14ac:dyDescent="0.3">
      <c r="A45" s="2" t="s">
        <v>47</v>
      </c>
      <c r="B45" s="3">
        <v>3.0350000000000001</v>
      </c>
      <c r="C45" s="3">
        <v>42.040999999999997</v>
      </c>
      <c r="D45" s="4">
        <v>0.99077000000000004</v>
      </c>
      <c r="E45" s="5">
        <v>98.02</v>
      </c>
      <c r="G45" s="4">
        <f>(B45-MIN(B$45:B$51)) / (MAX(B$45:B$51) - MIN(B$45:B$51))</f>
        <v>0</v>
      </c>
      <c r="H45" s="4">
        <f t="shared" ref="H45:H51" si="24">(C45-MIN(C$45:C$51)) / (MAX(C$45:C$51) - MIN(C$45:C$51))</f>
        <v>0</v>
      </c>
      <c r="I45" s="4">
        <f t="shared" ref="I45:I51" si="25">(D45-MIN(D$45:D$51)) / (MAX(D$45:D$51) - MIN(D$45:D$51))</f>
        <v>0</v>
      </c>
      <c r="J45" s="4">
        <f t="shared" ref="J45:J51" si="26">(E45-MIN(E$45:E$51)) / (MAX(E$45:E$51) - MIN(E$45:E$51))</f>
        <v>0</v>
      </c>
    </row>
    <row r="46" spans="1:10" x14ac:dyDescent="0.3">
      <c r="A46" s="2" t="s">
        <v>48</v>
      </c>
      <c r="B46" s="3">
        <v>3.0670000000000002</v>
      </c>
      <c r="C46" s="3">
        <v>42.551000000000002</v>
      </c>
      <c r="D46" s="4">
        <v>0.99202999999999997</v>
      </c>
      <c r="E46" s="5">
        <v>98.98</v>
      </c>
      <c r="G46" s="4">
        <f t="shared" ref="G46:G51" si="27">(B46-MIN(B$45:B$51)) / (MAX(B$45:B$51) - MIN(B$45:B$51))</f>
        <v>0.31067961165048646</v>
      </c>
      <c r="H46" s="4">
        <f t="shared" si="24"/>
        <v>0.21170610211706262</v>
      </c>
      <c r="I46" s="4">
        <f t="shared" si="25"/>
        <v>0.27272727272725961</v>
      </c>
      <c r="J46" s="4">
        <f t="shared" si="26"/>
        <v>0.50793650793651202</v>
      </c>
    </row>
    <row r="47" spans="1:10" x14ac:dyDescent="0.3">
      <c r="A47" s="2" t="s">
        <v>49</v>
      </c>
      <c r="B47" s="3">
        <v>3.1</v>
      </c>
      <c r="C47" s="3">
        <v>42.963000000000001</v>
      </c>
      <c r="D47" s="4">
        <v>0.99295999999999995</v>
      </c>
      <c r="E47" s="5">
        <v>99.39</v>
      </c>
      <c r="G47" s="4">
        <f t="shared" si="27"/>
        <v>0.63106796116504948</v>
      </c>
      <c r="H47" s="4">
        <f t="shared" si="24"/>
        <v>0.38273142382731501</v>
      </c>
      <c r="I47" s="4">
        <f t="shared" si="25"/>
        <v>0.47402597402595981</v>
      </c>
      <c r="J47" s="4">
        <f t="shared" si="26"/>
        <v>0.7248677248677271</v>
      </c>
    </row>
    <row r="48" spans="1:10" x14ac:dyDescent="0.3">
      <c r="A48" s="2" t="s">
        <v>50</v>
      </c>
      <c r="B48" s="3">
        <v>3.12</v>
      </c>
      <c r="C48" s="3">
        <v>43.347000000000001</v>
      </c>
      <c r="D48" s="4">
        <v>0.99368999999999996</v>
      </c>
      <c r="E48" s="5">
        <v>99.63</v>
      </c>
      <c r="G48" s="4">
        <f t="shared" si="27"/>
        <v>0.82524271844660357</v>
      </c>
      <c r="H48" s="4">
        <f t="shared" si="24"/>
        <v>0.54213366542133712</v>
      </c>
      <c r="I48" s="4">
        <f t="shared" si="25"/>
        <v>0.63203463203462107</v>
      </c>
      <c r="J48" s="4">
        <f t="shared" si="26"/>
        <v>0.8518518518518513</v>
      </c>
    </row>
    <row r="49" spans="1:10" x14ac:dyDescent="0.3">
      <c r="A49" s="2" t="s">
        <v>51</v>
      </c>
      <c r="B49" s="3">
        <v>3.1280000000000001</v>
      </c>
      <c r="C49" s="3">
        <v>43.712000000000003</v>
      </c>
      <c r="D49" s="4">
        <v>0.99433000000000005</v>
      </c>
      <c r="E49" s="5">
        <v>99.77</v>
      </c>
      <c r="G49" s="4">
        <f t="shared" si="27"/>
        <v>0.90291262135922512</v>
      </c>
      <c r="H49" s="4">
        <f t="shared" si="24"/>
        <v>0.69364881693648917</v>
      </c>
      <c r="I49" s="4">
        <f t="shared" si="25"/>
        <v>0.77056277056277933</v>
      </c>
      <c r="J49" s="4">
        <f t="shared" si="26"/>
        <v>0.9259259259259256</v>
      </c>
    </row>
    <row r="50" spans="1:10" x14ac:dyDescent="0.3">
      <c r="A50" s="2" t="s">
        <v>52</v>
      </c>
      <c r="B50" s="3">
        <v>3.1379999999999999</v>
      </c>
      <c r="C50" s="3">
        <v>44.08</v>
      </c>
      <c r="D50" s="4">
        <v>0.99489000000000005</v>
      </c>
      <c r="E50" s="5">
        <v>99.86</v>
      </c>
      <c r="G50" s="4">
        <f t="shared" si="27"/>
        <v>1</v>
      </c>
      <c r="H50" s="4">
        <f t="shared" si="24"/>
        <v>0.84640929846409152</v>
      </c>
      <c r="I50" s="4">
        <f t="shared" si="25"/>
        <v>0.89177489177490266</v>
      </c>
      <c r="J50" s="4">
        <f t="shared" si="26"/>
        <v>0.97354497354497505</v>
      </c>
    </row>
    <row r="51" spans="1:10" x14ac:dyDescent="0.3">
      <c r="A51" s="2" t="s">
        <v>53</v>
      </c>
      <c r="B51" s="3">
        <v>3.1339999999999999</v>
      </c>
      <c r="C51" s="3">
        <v>44.45</v>
      </c>
      <c r="D51" s="4">
        <v>0.99539</v>
      </c>
      <c r="E51" s="5">
        <v>99.91</v>
      </c>
      <c r="G51" s="4">
        <f t="shared" si="27"/>
        <v>0.96116504854368923</v>
      </c>
      <c r="H51" s="4">
        <f t="shared" si="24"/>
        <v>1</v>
      </c>
      <c r="I51" s="4">
        <f t="shared" si="25"/>
        <v>1</v>
      </c>
      <c r="J51" s="4">
        <f t="shared" si="26"/>
        <v>1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이경일</dc:creator>
  <cp:lastModifiedBy>경일 이</cp:lastModifiedBy>
  <dcterms:created xsi:type="dcterms:W3CDTF">2026-05-19T08:18:18Z</dcterms:created>
  <dcterms:modified xsi:type="dcterms:W3CDTF">2026-05-19T13:51:56Z</dcterms:modified>
</cp:coreProperties>
</file>