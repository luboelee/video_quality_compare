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kerPath\video_quality_compare\output\"/>
    </mc:Choice>
  </mc:AlternateContent>
  <xr:revisionPtr revIDLastSave="0" documentId="13_ncr:9_{7C4E9083-C2A4-445D-823E-27A52E080A10}" xr6:coauthVersionLast="47" xr6:coauthVersionMax="47" xr10:uidLastSave="{00000000-0000-0000-0000-000000000000}"/>
  <bookViews>
    <workbookView xWindow="-120" yWindow="-120" windowWidth="51840" windowHeight="21120" xr2:uid="{8D447A03-9979-4E3F-B61F-0F546C42A134}"/>
  </bookViews>
  <sheets>
    <sheet name="result" sheetId="1" r:id="rId1"/>
  </sheets>
  <calcPr calcId="0"/>
</workbook>
</file>

<file path=xl/calcChain.xml><?xml version="1.0" encoding="utf-8"?>
<calcChain xmlns="http://schemas.openxmlformats.org/spreadsheetml/2006/main">
  <c r="J31" i="1" l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</calcChain>
</file>

<file path=xl/sharedStrings.xml><?xml version="1.0" encoding="utf-8"?>
<sst xmlns="http://schemas.openxmlformats.org/spreadsheetml/2006/main" count="38" uniqueCount="34">
  <si>
    <t>target_name</t>
  </si>
  <si>
    <t>uvq_score</t>
  </si>
  <si>
    <t>psnr_y</t>
  </si>
  <si>
    <t>ms_ssim</t>
  </si>
  <si>
    <t>vmaf</t>
  </si>
  <si>
    <t>ducks_take_off_2160p50_26000k.mp4</t>
  </si>
  <si>
    <t>ducks_take_off_2160p50_30000k.mp4</t>
  </si>
  <si>
    <t>ducks_take_off_2160p50_34000k.mp4</t>
  </si>
  <si>
    <t>ducks_take_off_2160p50_38000k.mp4</t>
  </si>
  <si>
    <t>ducks_take_off_2160p50_42000k.mp4</t>
  </si>
  <si>
    <t>ducks_take_off_2160p50_46000k.mp4</t>
  </si>
  <si>
    <t>ducks_take_off_2160p50_50000k.mp4</t>
  </si>
  <si>
    <t>ducks_take_off_2160p50_54000k.mp4</t>
  </si>
  <si>
    <t>ducks_take_off_2160p50_58000k.mp4</t>
  </si>
  <si>
    <t>ducks_take_off_2160p50_62000k.mp4</t>
  </si>
  <si>
    <t>ducks_take_off_2160p50_66000k.mp4</t>
  </si>
  <si>
    <t>ducks_take_off_2160p50_70000k.mp4</t>
  </si>
  <si>
    <t>ducks_take_off_2160p50_74000k.mp4</t>
  </si>
  <si>
    <t>ducks_take_off_2160p50_78000k.mp4</t>
  </si>
  <si>
    <t>park_joy_2160p50_26000k.mp4</t>
  </si>
  <si>
    <t>park_joy_2160p50_30000k.mp4</t>
  </si>
  <si>
    <t>park_joy_2160p50_34000k.mp4</t>
  </si>
  <si>
    <t>park_joy_2160p50_38000k.mp4</t>
  </si>
  <si>
    <t>park_joy_2160p50_42000k.mp4</t>
  </si>
  <si>
    <t>park_joy_2160p50_46000k.mp4</t>
  </si>
  <si>
    <t>park_joy_2160p50_50000k.mp4</t>
  </si>
  <si>
    <t>park_joy_2160p50_54000k.mp4</t>
  </si>
  <si>
    <t>park_joy_2160p50_58000k.mp4</t>
  </si>
  <si>
    <t>park_joy_2160p50_62000k.mp4</t>
  </si>
  <si>
    <t>park_joy_2160p50_66000k.mp4</t>
  </si>
  <si>
    <t>park_joy_2160p50_70000k.mp4</t>
  </si>
  <si>
    <t>park_joy_2160p50_74000k.mp4</t>
  </si>
  <si>
    <t>park_joy_2160p50_78000k.mp4</t>
  </si>
  <si>
    <t>Min-Max Scaling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</si>
</sst>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>
      <alignment vertical="center"/>
    </xf>
    <xf numFmtId="0" fontId="19" fillId="33" borderId="10" xfId="0" applyFont="1" applyFill="1" applyBorder="1" applyAlignment="1">
      <alignment horizontal="center" vertical="center"/>
    </xf>
    <xf numFmtId="177" fontId="0" fillId="33" borderId="10" xfId="0" applyNumberFormat="1" applyFill="1" applyBorder="1">
      <alignment vertical="center"/>
    </xf>
    <xf numFmtId="177" fontId="0" fillId="34" borderId="10" xfId="0" applyNumberForma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Ducks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uvq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result!$G$4:$G$17</c:f>
              <c:numCache>
                <c:formatCode>0.00000_ </c:formatCode>
                <c:ptCount val="14"/>
                <c:pt idx="0">
                  <c:v>0</c:v>
                </c:pt>
                <c:pt idx="1">
                  <c:v>4.3478260869560602E-2</c:v>
                </c:pt>
                <c:pt idx="2">
                  <c:v>0.32608695652174313</c:v>
                </c:pt>
                <c:pt idx="3">
                  <c:v>0.36956521739130371</c:v>
                </c:pt>
                <c:pt idx="4">
                  <c:v>0.54347826086956541</c:v>
                </c:pt>
                <c:pt idx="5">
                  <c:v>0.50000000000000477</c:v>
                </c:pt>
                <c:pt idx="6">
                  <c:v>0.65217391304347661</c:v>
                </c:pt>
                <c:pt idx="7">
                  <c:v>0.80434782608695798</c:v>
                </c:pt>
                <c:pt idx="8">
                  <c:v>0.76086956521739735</c:v>
                </c:pt>
                <c:pt idx="9">
                  <c:v>0.91304347826086918</c:v>
                </c:pt>
                <c:pt idx="10">
                  <c:v>1</c:v>
                </c:pt>
                <c:pt idx="11">
                  <c:v>0.95652173913043936</c:v>
                </c:pt>
                <c:pt idx="12">
                  <c:v>0.9347826086956591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12-4803-BA56-2DF7883D7788}"/>
            </c:ext>
          </c:extLst>
        </c:ser>
        <c:ser>
          <c:idx val="1"/>
          <c:order val="1"/>
          <c:tx>
            <c:v>psnr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result!$H$4:$H$17</c:f>
              <c:numCache>
                <c:formatCode>0.00000_ </c:formatCode>
                <c:ptCount val="14"/>
                <c:pt idx="0">
                  <c:v>0</c:v>
                </c:pt>
                <c:pt idx="1">
                  <c:v>0.14154048716260703</c:v>
                </c:pt>
                <c:pt idx="2">
                  <c:v>0.26398946675444385</c:v>
                </c:pt>
                <c:pt idx="3">
                  <c:v>0.37327188940092215</c:v>
                </c:pt>
                <c:pt idx="4">
                  <c:v>0.47004608294930839</c:v>
                </c:pt>
                <c:pt idx="5">
                  <c:v>0.55760368663594384</c:v>
                </c:pt>
                <c:pt idx="6">
                  <c:v>0.63331138907175821</c:v>
                </c:pt>
                <c:pt idx="7">
                  <c:v>0.70177748518762351</c:v>
                </c:pt>
                <c:pt idx="8">
                  <c:v>0.76234364713627323</c:v>
                </c:pt>
                <c:pt idx="9">
                  <c:v>0.8176431863067799</c:v>
                </c:pt>
                <c:pt idx="10">
                  <c:v>0.86767610269914375</c:v>
                </c:pt>
                <c:pt idx="11">
                  <c:v>0.91441737985516847</c:v>
                </c:pt>
                <c:pt idx="12">
                  <c:v>0.95852534562212055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12-4803-BA56-2DF7883D7788}"/>
            </c:ext>
          </c:extLst>
        </c:ser>
        <c:ser>
          <c:idx val="2"/>
          <c:order val="2"/>
          <c:tx>
            <c:v>ssim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result!$I$4:$I$17</c:f>
              <c:numCache>
                <c:formatCode>0.00000_ </c:formatCode>
                <c:ptCount val="14"/>
                <c:pt idx="0">
                  <c:v>0</c:v>
                </c:pt>
                <c:pt idx="1">
                  <c:v>0.17169657422511983</c:v>
                </c:pt>
                <c:pt idx="2">
                  <c:v>0.31280587275693145</c:v>
                </c:pt>
                <c:pt idx="3">
                  <c:v>0.43148450244698366</c:v>
                </c:pt>
                <c:pt idx="4">
                  <c:v>0.53099510603589062</c:v>
                </c:pt>
                <c:pt idx="5">
                  <c:v>0.6162316476345826</c:v>
                </c:pt>
                <c:pt idx="6">
                  <c:v>0.68800978792821987</c:v>
                </c:pt>
                <c:pt idx="7">
                  <c:v>0.75122349102773256</c:v>
                </c:pt>
                <c:pt idx="8">
                  <c:v>0.80505709624796051</c:v>
                </c:pt>
                <c:pt idx="9">
                  <c:v>0.85277324632952678</c:v>
                </c:pt>
                <c:pt idx="10">
                  <c:v>0.89518760195758718</c:v>
                </c:pt>
                <c:pt idx="11">
                  <c:v>0.9335236541598686</c:v>
                </c:pt>
                <c:pt idx="12">
                  <c:v>0.96818923327895579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12-4803-BA56-2DF7883D7788}"/>
            </c:ext>
          </c:extLst>
        </c:ser>
        <c:ser>
          <c:idx val="3"/>
          <c:order val="3"/>
          <c:tx>
            <c:v>vmaf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result!$J$4:$J$17</c:f>
              <c:numCache>
                <c:formatCode>0.00000_ </c:formatCode>
                <c:ptCount val="14"/>
                <c:pt idx="0">
                  <c:v>0</c:v>
                </c:pt>
                <c:pt idx="1">
                  <c:v>0.14999999999999977</c:v>
                </c:pt>
                <c:pt idx="2">
                  <c:v>0.27872340425531839</c:v>
                </c:pt>
                <c:pt idx="3">
                  <c:v>0.3925531914893618</c:v>
                </c:pt>
                <c:pt idx="4">
                  <c:v>0.49361702127659624</c:v>
                </c:pt>
                <c:pt idx="5">
                  <c:v>0.58404255319148934</c:v>
                </c:pt>
                <c:pt idx="6">
                  <c:v>0.66063829787234041</c:v>
                </c:pt>
                <c:pt idx="7">
                  <c:v>0.72978723404255375</c:v>
                </c:pt>
                <c:pt idx="8">
                  <c:v>0.78829787234042592</c:v>
                </c:pt>
                <c:pt idx="9">
                  <c:v>0.84042553191489344</c:v>
                </c:pt>
                <c:pt idx="10">
                  <c:v>0.88723404255319116</c:v>
                </c:pt>
                <c:pt idx="11">
                  <c:v>0.92872340425531885</c:v>
                </c:pt>
                <c:pt idx="12">
                  <c:v>0.96595744680851137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12-4803-BA56-2DF7883D7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405032"/>
        <c:axId val="867402872"/>
      </c:lineChart>
      <c:catAx>
        <c:axId val="867405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7402872"/>
        <c:crosses val="autoZero"/>
        <c:auto val="1"/>
        <c:lblAlgn val="ctr"/>
        <c:lblOffset val="100"/>
        <c:noMultiLvlLbl val="0"/>
      </c:catAx>
      <c:valAx>
        <c:axId val="867402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6740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park joy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uvq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result!$G$18:$G$31</c:f>
              <c:numCache>
                <c:formatCode>0.00000_ </c:formatCode>
                <c:ptCount val="14"/>
                <c:pt idx="0">
                  <c:v>0</c:v>
                </c:pt>
                <c:pt idx="1">
                  <c:v>0.13698630136986625</c:v>
                </c:pt>
                <c:pt idx="2">
                  <c:v>0.23287671232876594</c:v>
                </c:pt>
                <c:pt idx="3">
                  <c:v>0.36986301369863223</c:v>
                </c:pt>
                <c:pt idx="4">
                  <c:v>0.57534246575342862</c:v>
                </c:pt>
                <c:pt idx="5">
                  <c:v>0.58904109589041342</c:v>
                </c:pt>
                <c:pt idx="6">
                  <c:v>0.67123287671232823</c:v>
                </c:pt>
                <c:pt idx="7">
                  <c:v>0.69863013698630394</c:v>
                </c:pt>
                <c:pt idx="8">
                  <c:v>0.76712328767123406</c:v>
                </c:pt>
                <c:pt idx="9">
                  <c:v>0.87671232876712457</c:v>
                </c:pt>
                <c:pt idx="10">
                  <c:v>0.89041095890410937</c:v>
                </c:pt>
                <c:pt idx="11">
                  <c:v>0.84931506849315497</c:v>
                </c:pt>
                <c:pt idx="12">
                  <c:v>0.94520547945205469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F7-42B6-9372-CA86C27835D0}"/>
            </c:ext>
          </c:extLst>
        </c:ser>
        <c:ser>
          <c:idx val="1"/>
          <c:order val="1"/>
          <c:tx>
            <c:v>psnr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result!$H$18:$H$31</c:f>
              <c:numCache>
                <c:formatCode>0.00000_ </c:formatCode>
                <c:ptCount val="14"/>
                <c:pt idx="0">
                  <c:v>0</c:v>
                </c:pt>
                <c:pt idx="1">
                  <c:v>0.13287153652392958</c:v>
                </c:pt>
                <c:pt idx="2">
                  <c:v>0.25283375314861584</c:v>
                </c:pt>
                <c:pt idx="3">
                  <c:v>0.35768261964735582</c:v>
                </c:pt>
                <c:pt idx="4">
                  <c:v>0.45056675062972185</c:v>
                </c:pt>
                <c:pt idx="5">
                  <c:v>0.53557934508816107</c:v>
                </c:pt>
                <c:pt idx="6">
                  <c:v>0.61083123425692587</c:v>
                </c:pt>
                <c:pt idx="7">
                  <c:v>0.68073047858941993</c:v>
                </c:pt>
                <c:pt idx="8">
                  <c:v>0.74590680100755613</c:v>
                </c:pt>
                <c:pt idx="9">
                  <c:v>0.8051007556675065</c:v>
                </c:pt>
                <c:pt idx="10">
                  <c:v>0.85862720403022741</c:v>
                </c:pt>
                <c:pt idx="11">
                  <c:v>0.90931989924433132</c:v>
                </c:pt>
                <c:pt idx="12">
                  <c:v>0.9562342569269513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F7-42B6-9372-CA86C27835D0}"/>
            </c:ext>
          </c:extLst>
        </c:ser>
        <c:ser>
          <c:idx val="2"/>
          <c:order val="2"/>
          <c:tx>
            <c:v>ssim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result!$I$18:$I$31</c:f>
              <c:numCache>
                <c:formatCode>0.00000_ </c:formatCode>
                <c:ptCount val="14"/>
                <c:pt idx="0">
                  <c:v>0</c:v>
                </c:pt>
                <c:pt idx="1">
                  <c:v>0.18353632927341393</c:v>
                </c:pt>
                <c:pt idx="2">
                  <c:v>0.33347333053339179</c:v>
                </c:pt>
                <c:pt idx="3">
                  <c:v>0.45191096178076406</c:v>
                </c:pt>
                <c:pt idx="4">
                  <c:v>0.55018899622007567</c:v>
                </c:pt>
                <c:pt idx="5">
                  <c:v>0.63376732465350905</c:v>
                </c:pt>
                <c:pt idx="6">
                  <c:v>0.70180596388072258</c:v>
                </c:pt>
                <c:pt idx="7">
                  <c:v>0.76312473750525078</c:v>
                </c:pt>
                <c:pt idx="8">
                  <c:v>0.8164636707265861</c:v>
                </c:pt>
                <c:pt idx="9">
                  <c:v>0.86266274674506527</c:v>
                </c:pt>
                <c:pt idx="10">
                  <c:v>0.90214195716085921</c:v>
                </c:pt>
                <c:pt idx="11">
                  <c:v>0.93868122637547646</c:v>
                </c:pt>
                <c:pt idx="12">
                  <c:v>0.97144057118857563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F7-42B6-9372-CA86C27835D0}"/>
            </c:ext>
          </c:extLst>
        </c:ser>
        <c:ser>
          <c:idx val="3"/>
          <c:order val="3"/>
          <c:tx>
            <c:v>vmaf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result!$J$18:$J$31</c:f>
              <c:numCache>
                <c:formatCode>0.00000_ </c:formatCode>
                <c:ptCount val="14"/>
                <c:pt idx="0">
                  <c:v>0</c:v>
                </c:pt>
                <c:pt idx="1">
                  <c:v>0.21303656597774279</c:v>
                </c:pt>
                <c:pt idx="2">
                  <c:v>0.3863275039745635</c:v>
                </c:pt>
                <c:pt idx="3">
                  <c:v>0.5246422893481707</c:v>
                </c:pt>
                <c:pt idx="4">
                  <c:v>0.63593004769475292</c:v>
                </c:pt>
                <c:pt idx="5">
                  <c:v>0.72496025437201872</c:v>
                </c:pt>
                <c:pt idx="6">
                  <c:v>0.79332273449920576</c:v>
                </c:pt>
                <c:pt idx="7">
                  <c:v>0.84737678855325804</c:v>
                </c:pt>
                <c:pt idx="8">
                  <c:v>0.88871224165341778</c:v>
                </c:pt>
                <c:pt idx="9">
                  <c:v>0.9220985691573913</c:v>
                </c:pt>
                <c:pt idx="10">
                  <c:v>0.94912559618441861</c:v>
                </c:pt>
                <c:pt idx="11">
                  <c:v>0.96979332273449959</c:v>
                </c:pt>
                <c:pt idx="12">
                  <c:v>0.98728139904610523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F7-42B6-9372-CA86C278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095384"/>
        <c:axId val="876087464"/>
      </c:lineChart>
      <c:catAx>
        <c:axId val="876095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6087464"/>
        <c:crosses val="autoZero"/>
        <c:auto val="1"/>
        <c:lblAlgn val="ctr"/>
        <c:lblOffset val="100"/>
        <c:noMultiLvlLbl val="0"/>
      </c:catAx>
      <c:valAx>
        <c:axId val="87608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609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190500</xdr:colOff>
      <xdr:row>5</xdr:row>
      <xdr:rowOff>0</xdr:rowOff>
    </xdr:from>
    <xdr:to>
      <xdr:col>24</xdr:col>
      <xdr:colOff>647700</xdr:colOff>
      <xdr:row>29</xdr:row>
      <xdr:rowOff>38100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7B9F155-E16A-6846-9002-FBD570B2F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161924</xdr:colOff>
      <xdr:row>4</xdr:row>
      <xdr:rowOff>209549</xdr:rowOff>
    </xdr:from>
    <xdr:to>
      <xdr:col>39</xdr:col>
      <xdr:colOff>228599</xdr:colOff>
      <xdr:row>29</xdr:row>
      <xdr:rowOff>47624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A788C43A-98BC-C3A4-C855-D20656FC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D1F1-85D7-4356-B157-DA6FDBD63180}">
  <dimension ref="A2:J31"/>
  <sheetViews>
    <sheetView tabSelected="1" workbookViewId="0">
      <selection activeCell="L31" sqref="L31"/>
    </sheetView>
  </sheetViews>
  <sheetFormatPr defaultRowHeight="16.5" x14ac:dyDescent="0.3"/>
  <cols>
    <col min="1" max="1" width="35.125" style="1" bestFit="1" customWidth="1"/>
    <col min="2" max="5" width="9" style="1"/>
    <col min="6" max="6" width="2.75" style="1" customWidth="1"/>
    <col min="7" max="7" width="9.375" style="1" customWidth="1"/>
    <col min="8" max="16384" width="9" style="1"/>
  </cols>
  <sheetData>
    <row r="2" spans="1:10" x14ac:dyDescent="0.3">
      <c r="A2" s="2"/>
      <c r="B2" s="2"/>
      <c r="C2" s="2"/>
      <c r="D2" s="2"/>
      <c r="E2" s="2"/>
      <c r="G2" s="3" t="s">
        <v>33</v>
      </c>
      <c r="H2" s="3"/>
      <c r="I2" s="3"/>
      <c r="J2" s="3"/>
    </row>
    <row r="3" spans="1:10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G3" s="5" t="s">
        <v>1</v>
      </c>
      <c r="H3" s="5" t="s">
        <v>2</v>
      </c>
      <c r="I3" s="5" t="s">
        <v>3</v>
      </c>
      <c r="J3" s="5" t="s">
        <v>4</v>
      </c>
    </row>
    <row r="4" spans="1:10" x14ac:dyDescent="0.3">
      <c r="A4" s="2" t="s">
        <v>5</v>
      </c>
      <c r="B4" s="2">
        <v>3.907</v>
      </c>
      <c r="C4" s="2">
        <v>29.309000000000001</v>
      </c>
      <c r="D4" s="2">
        <v>0.93701000000000001</v>
      </c>
      <c r="E4" s="2">
        <v>81.48</v>
      </c>
      <c r="G4" s="6">
        <f>(B4-MIN(B$4:B$17)) / (MAX(B$4:B$17) - MIN(B$4:B$17))</f>
        <v>0</v>
      </c>
      <c r="H4" s="6">
        <f t="shared" ref="H4:H17" si="0">(C4-MIN(C$4:C$17)) / (MAX(C$4:C$17) - MIN(C$4:C$17))</f>
        <v>0</v>
      </c>
      <c r="I4" s="6">
        <f t="shared" ref="I4:I17" si="1">(D4-MIN(D$4:D$17)) / (MAX(D$4:D$17) - MIN(D$4:D$17))</f>
        <v>0</v>
      </c>
      <c r="J4" s="6">
        <f t="shared" ref="J4:J17" si="2">(E4-MIN(E$4:E$17)) / (MAX(E$4:E$17) - MIN(E$4:E$17))</f>
        <v>0</v>
      </c>
    </row>
    <row r="5" spans="1:10" x14ac:dyDescent="0.3">
      <c r="A5" s="2" t="s">
        <v>6</v>
      </c>
      <c r="B5" s="2">
        <v>3.9089999999999998</v>
      </c>
      <c r="C5" s="2">
        <v>29.524000000000001</v>
      </c>
      <c r="D5" s="2">
        <v>0.94121999999999995</v>
      </c>
      <c r="E5" s="2">
        <v>82.89</v>
      </c>
      <c r="G5" s="6">
        <f t="shared" ref="G5:G17" si="3">(B5-MIN(B$4:B$17)) / (MAX(B$4:B$17) - MIN(B$4:B$17))</f>
        <v>4.3478260869560602E-2</v>
      </c>
      <c r="H5" s="6">
        <f t="shared" si="0"/>
        <v>0.14154048716260703</v>
      </c>
      <c r="I5" s="6">
        <f t="shared" si="1"/>
        <v>0.17169657422511983</v>
      </c>
      <c r="J5" s="6">
        <f t="shared" si="2"/>
        <v>0.14999999999999977</v>
      </c>
    </row>
    <row r="6" spans="1:10" x14ac:dyDescent="0.3">
      <c r="A6" s="2" t="s">
        <v>7</v>
      </c>
      <c r="B6" s="2">
        <v>3.9220000000000002</v>
      </c>
      <c r="C6" s="2">
        <v>29.71</v>
      </c>
      <c r="D6" s="2">
        <v>0.94467999999999996</v>
      </c>
      <c r="E6" s="2">
        <v>84.1</v>
      </c>
      <c r="G6" s="6">
        <f t="shared" si="3"/>
        <v>0.32608695652174313</v>
      </c>
      <c r="H6" s="6">
        <f t="shared" si="0"/>
        <v>0.26398946675444385</v>
      </c>
      <c r="I6" s="6">
        <f t="shared" si="1"/>
        <v>0.31280587275693145</v>
      </c>
      <c r="J6" s="6">
        <f t="shared" si="2"/>
        <v>0.27872340425531839</v>
      </c>
    </row>
    <row r="7" spans="1:10" x14ac:dyDescent="0.3">
      <c r="A7" s="2" t="s">
        <v>8</v>
      </c>
      <c r="B7" s="2">
        <v>3.9239999999999999</v>
      </c>
      <c r="C7" s="2">
        <v>29.876000000000001</v>
      </c>
      <c r="D7" s="2">
        <v>0.94759000000000004</v>
      </c>
      <c r="E7" s="2">
        <v>85.17</v>
      </c>
      <c r="G7" s="6">
        <f t="shared" si="3"/>
        <v>0.36956521739130371</v>
      </c>
      <c r="H7" s="6">
        <f t="shared" si="0"/>
        <v>0.37327188940092215</v>
      </c>
      <c r="I7" s="6">
        <f t="shared" si="1"/>
        <v>0.43148450244698366</v>
      </c>
      <c r="J7" s="6">
        <f t="shared" si="2"/>
        <v>0.3925531914893618</v>
      </c>
    </row>
    <row r="8" spans="1:10" x14ac:dyDescent="0.3">
      <c r="A8" s="2" t="s">
        <v>9</v>
      </c>
      <c r="B8" s="2">
        <v>3.9319999999999999</v>
      </c>
      <c r="C8" s="2">
        <v>30.023</v>
      </c>
      <c r="D8" s="2">
        <v>0.95003000000000004</v>
      </c>
      <c r="E8" s="2">
        <v>86.12</v>
      </c>
      <c r="G8" s="6">
        <f t="shared" si="3"/>
        <v>0.54347826086956541</v>
      </c>
      <c r="H8" s="6">
        <f t="shared" si="0"/>
        <v>0.47004608294930839</v>
      </c>
      <c r="I8" s="6">
        <f t="shared" si="1"/>
        <v>0.53099510603589062</v>
      </c>
      <c r="J8" s="6">
        <f t="shared" si="2"/>
        <v>0.49361702127659624</v>
      </c>
    </row>
    <row r="9" spans="1:10" x14ac:dyDescent="0.3">
      <c r="A9" s="2" t="s">
        <v>10</v>
      </c>
      <c r="B9" s="2">
        <v>3.93</v>
      </c>
      <c r="C9" s="2">
        <v>30.155999999999999</v>
      </c>
      <c r="D9" s="2">
        <v>0.95211999999999997</v>
      </c>
      <c r="E9" s="2">
        <v>86.97</v>
      </c>
      <c r="G9" s="6">
        <f t="shared" si="3"/>
        <v>0.50000000000000477</v>
      </c>
      <c r="H9" s="6">
        <f t="shared" si="0"/>
        <v>0.55760368663594384</v>
      </c>
      <c r="I9" s="6">
        <f t="shared" si="1"/>
        <v>0.6162316476345826</v>
      </c>
      <c r="J9" s="6">
        <f t="shared" si="2"/>
        <v>0.58404255319148934</v>
      </c>
    </row>
    <row r="10" spans="1:10" x14ac:dyDescent="0.3">
      <c r="A10" s="2" t="s">
        <v>11</v>
      </c>
      <c r="B10" s="2">
        <v>3.9369999999999998</v>
      </c>
      <c r="C10" s="2">
        <v>30.271000000000001</v>
      </c>
      <c r="D10" s="2">
        <v>0.95387999999999995</v>
      </c>
      <c r="E10" s="2">
        <v>87.69</v>
      </c>
      <c r="G10" s="6">
        <f t="shared" si="3"/>
        <v>0.65217391304347661</v>
      </c>
      <c r="H10" s="6">
        <f t="shared" si="0"/>
        <v>0.63331138907175821</v>
      </c>
      <c r="I10" s="6">
        <f t="shared" si="1"/>
        <v>0.68800978792821987</v>
      </c>
      <c r="J10" s="6">
        <f t="shared" si="2"/>
        <v>0.66063829787234041</v>
      </c>
    </row>
    <row r="11" spans="1:10" x14ac:dyDescent="0.3">
      <c r="A11" s="2" t="s">
        <v>12</v>
      </c>
      <c r="B11" s="2">
        <v>3.944</v>
      </c>
      <c r="C11" s="2">
        <v>30.375</v>
      </c>
      <c r="D11" s="2">
        <v>0.95543</v>
      </c>
      <c r="E11" s="2">
        <v>88.34</v>
      </c>
      <c r="G11" s="6">
        <f t="shared" si="3"/>
        <v>0.80434782608695798</v>
      </c>
      <c r="H11" s="6">
        <f t="shared" si="0"/>
        <v>0.70177748518762351</v>
      </c>
      <c r="I11" s="6">
        <f t="shared" si="1"/>
        <v>0.75122349102773256</v>
      </c>
      <c r="J11" s="6">
        <f t="shared" si="2"/>
        <v>0.72978723404255375</v>
      </c>
    </row>
    <row r="12" spans="1:10" x14ac:dyDescent="0.3">
      <c r="A12" s="2" t="s">
        <v>13</v>
      </c>
      <c r="B12" s="2">
        <v>3.9420000000000002</v>
      </c>
      <c r="C12" s="2">
        <v>30.466999999999999</v>
      </c>
      <c r="D12" s="2">
        <v>0.95674999999999999</v>
      </c>
      <c r="E12" s="2">
        <v>88.89</v>
      </c>
      <c r="G12" s="6">
        <f t="shared" si="3"/>
        <v>0.76086956521739735</v>
      </c>
      <c r="H12" s="6">
        <f t="shared" si="0"/>
        <v>0.76234364713627323</v>
      </c>
      <c r="I12" s="6">
        <f t="shared" si="1"/>
        <v>0.80505709624796051</v>
      </c>
      <c r="J12" s="6">
        <f t="shared" si="2"/>
        <v>0.78829787234042592</v>
      </c>
    </row>
    <row r="13" spans="1:10" x14ac:dyDescent="0.3">
      <c r="A13" s="2" t="s">
        <v>14</v>
      </c>
      <c r="B13" s="2">
        <v>3.9489999999999998</v>
      </c>
      <c r="C13" s="2">
        <v>30.550999999999998</v>
      </c>
      <c r="D13" s="2">
        <v>0.95791999999999999</v>
      </c>
      <c r="E13" s="2">
        <v>89.38</v>
      </c>
      <c r="G13" s="6">
        <f t="shared" si="3"/>
        <v>0.91304347826086918</v>
      </c>
      <c r="H13" s="6">
        <f t="shared" si="0"/>
        <v>0.8176431863067799</v>
      </c>
      <c r="I13" s="6">
        <f t="shared" si="1"/>
        <v>0.85277324632952678</v>
      </c>
      <c r="J13" s="6">
        <f t="shared" si="2"/>
        <v>0.84042553191489344</v>
      </c>
    </row>
    <row r="14" spans="1:10" x14ac:dyDescent="0.3">
      <c r="A14" s="2" t="s">
        <v>15</v>
      </c>
      <c r="B14" s="2">
        <v>3.9529999999999998</v>
      </c>
      <c r="C14" s="2">
        <v>30.626999999999999</v>
      </c>
      <c r="D14" s="2">
        <v>0.95896000000000003</v>
      </c>
      <c r="E14" s="2">
        <v>89.82</v>
      </c>
      <c r="G14" s="6">
        <f t="shared" si="3"/>
        <v>1</v>
      </c>
      <c r="H14" s="6">
        <f t="shared" si="0"/>
        <v>0.86767610269914375</v>
      </c>
      <c r="I14" s="6">
        <f t="shared" si="1"/>
        <v>0.89518760195758718</v>
      </c>
      <c r="J14" s="6">
        <f t="shared" si="2"/>
        <v>0.88723404255319116</v>
      </c>
    </row>
    <row r="15" spans="1:10" x14ac:dyDescent="0.3">
      <c r="A15" s="2" t="s">
        <v>16</v>
      </c>
      <c r="B15" s="2">
        <v>3.9510000000000001</v>
      </c>
      <c r="C15" s="2">
        <v>30.698</v>
      </c>
      <c r="D15" s="2">
        <v>0.95989999999999998</v>
      </c>
      <c r="E15" s="2">
        <v>90.21</v>
      </c>
      <c r="G15" s="6">
        <f t="shared" si="3"/>
        <v>0.95652173913043936</v>
      </c>
      <c r="H15" s="6">
        <f t="shared" si="0"/>
        <v>0.91441737985516847</v>
      </c>
      <c r="I15" s="6">
        <f t="shared" si="1"/>
        <v>0.9335236541598686</v>
      </c>
      <c r="J15" s="6">
        <f t="shared" si="2"/>
        <v>0.92872340425531885</v>
      </c>
    </row>
    <row r="16" spans="1:10" x14ac:dyDescent="0.3">
      <c r="A16" s="2" t="s">
        <v>17</v>
      </c>
      <c r="B16" s="2">
        <v>3.95</v>
      </c>
      <c r="C16" s="2">
        <v>30.765000000000001</v>
      </c>
      <c r="D16" s="2">
        <v>0.96074999999999999</v>
      </c>
      <c r="E16" s="2">
        <v>90.56</v>
      </c>
      <c r="G16" s="6">
        <f t="shared" si="3"/>
        <v>0.9347826086956591</v>
      </c>
      <c r="H16" s="6">
        <f t="shared" si="0"/>
        <v>0.95852534562212055</v>
      </c>
      <c r="I16" s="6">
        <f t="shared" si="1"/>
        <v>0.96818923327895579</v>
      </c>
      <c r="J16" s="6">
        <f t="shared" si="2"/>
        <v>0.96595744680851137</v>
      </c>
    </row>
    <row r="17" spans="1:10" x14ac:dyDescent="0.3">
      <c r="A17" s="2" t="s">
        <v>18</v>
      </c>
      <c r="B17" s="2">
        <v>3.9529999999999998</v>
      </c>
      <c r="C17" s="2">
        <v>30.827999999999999</v>
      </c>
      <c r="D17" s="2">
        <v>0.96153</v>
      </c>
      <c r="E17" s="2">
        <v>90.88</v>
      </c>
      <c r="G17" s="6">
        <f t="shared" si="3"/>
        <v>1</v>
      </c>
      <c r="H17" s="6">
        <f t="shared" si="0"/>
        <v>1</v>
      </c>
      <c r="I17" s="6">
        <f t="shared" si="1"/>
        <v>1</v>
      </c>
      <c r="J17" s="6">
        <f t="shared" si="2"/>
        <v>1</v>
      </c>
    </row>
    <row r="18" spans="1:10" x14ac:dyDescent="0.3">
      <c r="A18" s="4" t="s">
        <v>19</v>
      </c>
      <c r="B18" s="4">
        <v>3.7549999999999999</v>
      </c>
      <c r="C18" s="4">
        <v>31.414999999999999</v>
      </c>
      <c r="D18" s="4">
        <v>0.95577999999999996</v>
      </c>
      <c r="E18" s="4">
        <v>92.94</v>
      </c>
      <c r="G18" s="7">
        <f>(B18-MIN(B$18:B$31)) / (MAX(B$18:B$31) - MIN(B$18:B$31))</f>
        <v>0</v>
      </c>
      <c r="H18" s="7">
        <f t="shared" ref="H18:H31" si="4">(C18-MIN(C$18:C$31)) / (MAX(C$18:C$31) - MIN(C$18:C$31))</f>
        <v>0</v>
      </c>
      <c r="I18" s="7">
        <f t="shared" ref="I18:I31" si="5">(D18-MIN(D$18:D$31)) / (MAX(D$18:D$31) - MIN(D$18:D$31))</f>
        <v>0</v>
      </c>
      <c r="J18" s="7">
        <f t="shared" ref="J18:J31" si="6">(E18-MIN(E$18:E$31)) / (MAX(E$18:E$31) - MIN(E$18:E$31))</f>
        <v>0</v>
      </c>
    </row>
    <row r="19" spans="1:10" x14ac:dyDescent="0.3">
      <c r="A19" s="4" t="s">
        <v>20</v>
      </c>
      <c r="B19" s="4">
        <v>3.7650000000000001</v>
      </c>
      <c r="C19" s="4">
        <v>31.837</v>
      </c>
      <c r="D19" s="4">
        <v>0.96014999999999995</v>
      </c>
      <c r="E19" s="4">
        <v>94.28</v>
      </c>
      <c r="G19" s="7">
        <f t="shared" ref="G19:G31" si="7">(B19-MIN(B$18:B$31)) / (MAX(B$18:B$31) - MIN(B$18:B$31))</f>
        <v>0.13698630136986625</v>
      </c>
      <c r="H19" s="7">
        <f t="shared" si="4"/>
        <v>0.13287153652392958</v>
      </c>
      <c r="I19" s="7">
        <f t="shared" si="5"/>
        <v>0.18353632927341393</v>
      </c>
      <c r="J19" s="7">
        <f t="shared" si="6"/>
        <v>0.21303656597774279</v>
      </c>
    </row>
    <row r="20" spans="1:10" x14ac:dyDescent="0.3">
      <c r="A20" s="4" t="s">
        <v>21</v>
      </c>
      <c r="B20" s="4">
        <v>3.7719999999999998</v>
      </c>
      <c r="C20" s="4">
        <v>32.218000000000004</v>
      </c>
      <c r="D20" s="4">
        <v>0.96372000000000002</v>
      </c>
      <c r="E20" s="4">
        <v>95.37</v>
      </c>
      <c r="G20" s="7">
        <f t="shared" si="7"/>
        <v>0.23287671232876594</v>
      </c>
      <c r="H20" s="7">
        <f t="shared" si="4"/>
        <v>0.25283375314861584</v>
      </c>
      <c r="I20" s="7">
        <f t="shared" si="5"/>
        <v>0.33347333053339179</v>
      </c>
      <c r="J20" s="7">
        <f t="shared" si="6"/>
        <v>0.3863275039745635</v>
      </c>
    </row>
    <row r="21" spans="1:10" x14ac:dyDescent="0.3">
      <c r="A21" s="4" t="s">
        <v>22</v>
      </c>
      <c r="B21" s="4">
        <v>3.782</v>
      </c>
      <c r="C21" s="4">
        <v>32.551000000000002</v>
      </c>
      <c r="D21" s="4">
        <v>0.96653999999999995</v>
      </c>
      <c r="E21" s="4">
        <v>96.24</v>
      </c>
      <c r="G21" s="7">
        <f t="shared" si="7"/>
        <v>0.36986301369863223</v>
      </c>
      <c r="H21" s="7">
        <f t="shared" si="4"/>
        <v>0.35768261964735582</v>
      </c>
      <c r="I21" s="7">
        <f t="shared" si="5"/>
        <v>0.45191096178076406</v>
      </c>
      <c r="J21" s="7">
        <f t="shared" si="6"/>
        <v>0.5246422893481707</v>
      </c>
    </row>
    <row r="22" spans="1:10" x14ac:dyDescent="0.3">
      <c r="A22" s="4" t="s">
        <v>23</v>
      </c>
      <c r="B22" s="4">
        <v>3.7970000000000002</v>
      </c>
      <c r="C22" s="4">
        <v>32.845999999999997</v>
      </c>
      <c r="D22" s="4">
        <v>0.96887999999999996</v>
      </c>
      <c r="E22" s="4">
        <v>96.94</v>
      </c>
      <c r="G22" s="7">
        <f t="shared" si="7"/>
        <v>0.57534246575342862</v>
      </c>
      <c r="H22" s="7">
        <f t="shared" si="4"/>
        <v>0.45056675062972185</v>
      </c>
      <c r="I22" s="7">
        <f t="shared" si="5"/>
        <v>0.55018899622007567</v>
      </c>
      <c r="J22" s="7">
        <f t="shared" si="6"/>
        <v>0.63593004769475292</v>
      </c>
    </row>
    <row r="23" spans="1:10" x14ac:dyDescent="0.3">
      <c r="A23" s="4" t="s">
        <v>24</v>
      </c>
      <c r="B23" s="4">
        <v>3.798</v>
      </c>
      <c r="C23" s="4">
        <v>33.116</v>
      </c>
      <c r="D23" s="4">
        <v>0.97087000000000001</v>
      </c>
      <c r="E23" s="4">
        <v>97.5</v>
      </c>
      <c r="G23" s="7">
        <f t="shared" si="7"/>
        <v>0.58904109589041342</v>
      </c>
      <c r="H23" s="7">
        <f t="shared" si="4"/>
        <v>0.53557934508816107</v>
      </c>
      <c r="I23" s="7">
        <f t="shared" si="5"/>
        <v>0.63376732465350905</v>
      </c>
      <c r="J23" s="7">
        <f t="shared" si="6"/>
        <v>0.72496025437201872</v>
      </c>
    </row>
    <row r="24" spans="1:10" x14ac:dyDescent="0.3">
      <c r="A24" s="4" t="s">
        <v>25</v>
      </c>
      <c r="B24" s="4">
        <v>3.8039999999999998</v>
      </c>
      <c r="C24" s="4">
        <v>33.354999999999997</v>
      </c>
      <c r="D24" s="4">
        <v>0.97248999999999997</v>
      </c>
      <c r="E24" s="4">
        <v>97.93</v>
      </c>
      <c r="G24" s="7">
        <f t="shared" si="7"/>
        <v>0.67123287671232823</v>
      </c>
      <c r="H24" s="7">
        <f t="shared" si="4"/>
        <v>0.61083123425692587</v>
      </c>
      <c r="I24" s="7">
        <f t="shared" si="5"/>
        <v>0.70180596388072258</v>
      </c>
      <c r="J24" s="7">
        <f t="shared" si="6"/>
        <v>0.79332273449920576</v>
      </c>
    </row>
    <row r="25" spans="1:10" x14ac:dyDescent="0.3">
      <c r="A25" s="4" t="s">
        <v>26</v>
      </c>
      <c r="B25" s="4">
        <v>3.806</v>
      </c>
      <c r="C25" s="4">
        <v>33.576999999999998</v>
      </c>
      <c r="D25" s="4">
        <v>0.97394999999999998</v>
      </c>
      <c r="E25" s="4">
        <v>98.27</v>
      </c>
      <c r="G25" s="7">
        <f t="shared" si="7"/>
        <v>0.69863013698630394</v>
      </c>
      <c r="H25" s="7">
        <f t="shared" si="4"/>
        <v>0.68073047858941993</v>
      </c>
      <c r="I25" s="7">
        <f t="shared" si="5"/>
        <v>0.76312473750525078</v>
      </c>
      <c r="J25" s="7">
        <f t="shared" si="6"/>
        <v>0.84737678855325804</v>
      </c>
    </row>
    <row r="26" spans="1:10" x14ac:dyDescent="0.3">
      <c r="A26" s="4" t="s">
        <v>27</v>
      </c>
      <c r="B26" s="4">
        <v>3.8109999999999999</v>
      </c>
      <c r="C26" s="4">
        <v>33.783999999999999</v>
      </c>
      <c r="D26" s="4">
        <v>0.97521999999999998</v>
      </c>
      <c r="E26" s="4">
        <v>98.53</v>
      </c>
      <c r="G26" s="7">
        <f t="shared" si="7"/>
        <v>0.76712328767123406</v>
      </c>
      <c r="H26" s="7">
        <f t="shared" si="4"/>
        <v>0.74590680100755613</v>
      </c>
      <c r="I26" s="7">
        <f t="shared" si="5"/>
        <v>0.8164636707265861</v>
      </c>
      <c r="J26" s="7">
        <f t="shared" si="6"/>
        <v>0.88871224165341778</v>
      </c>
    </row>
    <row r="27" spans="1:10" x14ac:dyDescent="0.3">
      <c r="A27" s="4" t="s">
        <v>28</v>
      </c>
      <c r="B27" s="4">
        <v>3.819</v>
      </c>
      <c r="C27" s="4">
        <v>33.972000000000001</v>
      </c>
      <c r="D27" s="4">
        <v>0.97631999999999997</v>
      </c>
      <c r="E27" s="4">
        <v>98.74</v>
      </c>
      <c r="G27" s="7">
        <f t="shared" si="7"/>
        <v>0.87671232876712457</v>
      </c>
      <c r="H27" s="7">
        <f t="shared" si="4"/>
        <v>0.8051007556675065</v>
      </c>
      <c r="I27" s="7">
        <f t="shared" si="5"/>
        <v>0.86266274674506527</v>
      </c>
      <c r="J27" s="7">
        <f t="shared" si="6"/>
        <v>0.9220985691573913</v>
      </c>
    </row>
    <row r="28" spans="1:10" x14ac:dyDescent="0.3">
      <c r="A28" s="4" t="s">
        <v>29</v>
      </c>
      <c r="B28" s="4">
        <v>3.82</v>
      </c>
      <c r="C28" s="4">
        <v>34.142000000000003</v>
      </c>
      <c r="D28" s="4">
        <v>0.97726000000000002</v>
      </c>
      <c r="E28" s="4">
        <v>98.91</v>
      </c>
      <c r="G28" s="7">
        <f t="shared" si="7"/>
        <v>0.89041095890410937</v>
      </c>
      <c r="H28" s="7">
        <f t="shared" si="4"/>
        <v>0.85862720403022741</v>
      </c>
      <c r="I28" s="7">
        <f t="shared" si="5"/>
        <v>0.90214195716085921</v>
      </c>
      <c r="J28" s="7">
        <f t="shared" si="6"/>
        <v>0.94912559618441861</v>
      </c>
    </row>
    <row r="29" spans="1:10" x14ac:dyDescent="0.3">
      <c r="A29" s="4" t="s">
        <v>30</v>
      </c>
      <c r="B29" s="4">
        <v>3.8170000000000002</v>
      </c>
      <c r="C29" s="4">
        <v>34.302999999999997</v>
      </c>
      <c r="D29" s="4">
        <v>0.97813000000000005</v>
      </c>
      <c r="E29" s="4">
        <v>99.04</v>
      </c>
      <c r="G29" s="7">
        <f t="shared" si="7"/>
        <v>0.84931506849315497</v>
      </c>
      <c r="H29" s="7">
        <f t="shared" si="4"/>
        <v>0.90931989924433132</v>
      </c>
      <c r="I29" s="7">
        <f t="shared" si="5"/>
        <v>0.93868122637547646</v>
      </c>
      <c r="J29" s="7">
        <f t="shared" si="6"/>
        <v>0.96979332273449959</v>
      </c>
    </row>
    <row r="30" spans="1:10" x14ac:dyDescent="0.3">
      <c r="A30" s="4" t="s">
        <v>31</v>
      </c>
      <c r="B30" s="4">
        <v>3.8239999999999998</v>
      </c>
      <c r="C30" s="4">
        <v>34.451999999999998</v>
      </c>
      <c r="D30" s="4">
        <v>0.97890999999999995</v>
      </c>
      <c r="E30" s="4">
        <v>99.15</v>
      </c>
      <c r="G30" s="7">
        <f t="shared" si="7"/>
        <v>0.94520547945205469</v>
      </c>
      <c r="H30" s="7">
        <f t="shared" si="4"/>
        <v>0.9562342569269513</v>
      </c>
      <c r="I30" s="7">
        <f t="shared" si="5"/>
        <v>0.97144057118857563</v>
      </c>
      <c r="J30" s="7">
        <f t="shared" si="6"/>
        <v>0.98728139904610523</v>
      </c>
    </row>
    <row r="31" spans="1:10" x14ac:dyDescent="0.3">
      <c r="A31" s="4" t="s">
        <v>32</v>
      </c>
      <c r="B31" s="4">
        <v>3.8279999999999998</v>
      </c>
      <c r="C31" s="4">
        <v>34.591000000000001</v>
      </c>
      <c r="D31" s="4">
        <v>0.97958999999999996</v>
      </c>
      <c r="E31" s="4">
        <v>99.23</v>
      </c>
      <c r="G31" s="7">
        <f t="shared" si="7"/>
        <v>1</v>
      </c>
      <c r="H31" s="7">
        <f t="shared" si="4"/>
        <v>1</v>
      </c>
      <c r="I31" s="7">
        <f t="shared" si="5"/>
        <v>1</v>
      </c>
      <c r="J31" s="7">
        <f t="shared" si="6"/>
        <v>1</v>
      </c>
    </row>
  </sheetData>
  <mergeCells count="1">
    <mergeCell ref="G2:J2"/>
  </mergeCells>
  <phoneticPr fontId="18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이경일</dc:creator>
  <cp:lastModifiedBy>경일 이</cp:lastModifiedBy>
  <dcterms:created xsi:type="dcterms:W3CDTF">2026-05-19T12:55:41Z</dcterms:created>
  <dcterms:modified xsi:type="dcterms:W3CDTF">2026-05-19T13:07:31Z</dcterms:modified>
</cp:coreProperties>
</file>